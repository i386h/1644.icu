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640" activeTab="1"/>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<sst xmlns="http://schemas.openxmlformats.org/spreadsheetml/2006/main" count="116" uniqueCount="114">
  <si>
    <t>朝代</t>
  </si>
  <si>
    <t>时间</t>
  </si>
  <si>
    <t>start</t>
  </si>
  <si>
    <t>end</t>
  </si>
  <si>
    <t>历时</t>
  </si>
  <si>
    <r>
      <rPr>
        <b/>
        <sz val="11"/>
        <rFont val="宋体"/>
        <charset val="134"/>
        <scheme val="minor"/>
      </rPr>
      <t>夏朝</t>
    </r>
    <r>
      <rPr>
        <sz val="11"/>
        <rFont val="宋体"/>
        <charset val="134"/>
        <scheme val="minor"/>
      </rPr>
      <t>​</t>
    </r>
  </si>
  <si>
    <t>约前2070–前1600</t>
  </si>
  <si>
    <t>约470年</t>
  </si>
  <si>
    <r>
      <rPr>
        <b/>
        <sz val="11"/>
        <rFont val="宋体"/>
        <charset val="134"/>
        <scheme val="minor"/>
      </rPr>
      <t>商朝</t>
    </r>
    <r>
      <rPr>
        <sz val="11"/>
        <rFont val="宋体"/>
        <charset val="134"/>
        <scheme val="minor"/>
      </rPr>
      <t>​</t>
    </r>
  </si>
  <si>
    <t>约前1600–前1046</t>
  </si>
  <si>
    <t>约550年</t>
  </si>
  <si>
    <r>
      <rPr>
        <b/>
        <sz val="11"/>
        <rFont val="宋体"/>
        <charset val="134"/>
        <scheme val="minor"/>
      </rPr>
      <t>西周</t>
    </r>
    <r>
      <rPr>
        <sz val="11"/>
        <rFont val="宋体"/>
        <charset val="134"/>
        <scheme val="minor"/>
      </rPr>
      <t>​</t>
    </r>
  </si>
  <si>
    <t>前1046–前771</t>
  </si>
  <si>
    <t>275年</t>
  </si>
  <si>
    <r>
      <rPr>
        <b/>
        <sz val="11"/>
        <rFont val="宋体"/>
        <charset val="134"/>
        <scheme val="minor"/>
      </rPr>
      <t>东周（春秋+战国）</t>
    </r>
    <r>
      <rPr>
        <sz val="11"/>
        <rFont val="宋体"/>
        <charset val="134"/>
        <scheme val="minor"/>
      </rPr>
      <t>​</t>
    </r>
  </si>
  <si>
    <t>前770–前221</t>
  </si>
  <si>
    <t>549年</t>
  </si>
  <si>
    <r>
      <rPr>
        <b/>
        <sz val="11"/>
        <rFont val="宋体"/>
        <charset val="134"/>
        <scheme val="minor"/>
      </rPr>
      <t>秦朝</t>
    </r>
    <r>
      <rPr>
        <sz val="11"/>
        <rFont val="宋体"/>
        <charset val="134"/>
        <scheme val="minor"/>
      </rPr>
      <t>​</t>
    </r>
  </si>
  <si>
    <t>前221–前207</t>
  </si>
  <si>
    <t>15年</t>
  </si>
  <si>
    <r>
      <rPr>
        <b/>
        <sz val="11"/>
        <rFont val="宋体"/>
        <charset val="134"/>
        <scheme val="minor"/>
      </rPr>
      <t>西汉</t>
    </r>
    <r>
      <rPr>
        <sz val="11"/>
        <rFont val="宋体"/>
        <charset val="134"/>
        <scheme val="minor"/>
      </rPr>
      <t>​</t>
    </r>
  </si>
  <si>
    <t>前202–公元8</t>
  </si>
  <si>
    <t>210年</t>
  </si>
  <si>
    <r>
      <rPr>
        <b/>
        <sz val="11"/>
        <rFont val="宋体"/>
        <charset val="134"/>
        <scheme val="minor"/>
      </rPr>
      <t>新朝（王莽）</t>
    </r>
    <r>
      <rPr>
        <sz val="11"/>
        <rFont val="宋体"/>
        <charset val="134"/>
        <scheme val="minor"/>
      </rPr>
      <t>​</t>
    </r>
  </si>
  <si>
    <t>公元9–23</t>
  </si>
  <si>
    <r>
      <rPr>
        <b/>
        <sz val="11"/>
        <rFont val="宋体"/>
        <charset val="134"/>
        <scheme val="minor"/>
      </rPr>
      <t>东汉</t>
    </r>
    <r>
      <rPr>
        <sz val="11"/>
        <rFont val="宋体"/>
        <charset val="134"/>
        <scheme val="minor"/>
      </rPr>
      <t>​</t>
    </r>
  </si>
  <si>
    <t>25–220</t>
  </si>
  <si>
    <t>195年</t>
  </si>
  <si>
    <r>
      <rPr>
        <b/>
        <sz val="11"/>
        <rFont val="宋体"/>
        <charset val="134"/>
        <scheme val="minor"/>
      </rPr>
      <t>三国（魏/蜀/吴并立）</t>
    </r>
    <r>
      <rPr>
        <sz val="11"/>
        <rFont val="宋体"/>
        <charset val="134"/>
        <scheme val="minor"/>
      </rPr>
      <t>​</t>
    </r>
  </si>
  <si>
    <t>220–280（通常取曹丕建魏–西晋灭吴）</t>
  </si>
  <si>
    <t>约60年</t>
  </si>
  <si>
    <r>
      <rPr>
        <b/>
        <sz val="11"/>
        <rFont val="宋体"/>
        <charset val="134"/>
        <scheme val="minor"/>
      </rPr>
      <t>西晋</t>
    </r>
    <r>
      <rPr>
        <sz val="11"/>
        <rFont val="宋体"/>
        <charset val="134"/>
        <scheme val="minor"/>
      </rPr>
      <t>​</t>
    </r>
  </si>
  <si>
    <t>265（统一280）–316</t>
  </si>
  <si>
    <t>统一后37年，立国52年</t>
  </si>
  <si>
    <r>
      <rPr>
        <b/>
        <sz val="11"/>
        <rFont val="宋体"/>
        <charset val="134"/>
        <scheme val="minor"/>
      </rPr>
      <t>东晋</t>
    </r>
    <r>
      <rPr>
        <sz val="11"/>
        <rFont val="宋体"/>
        <charset val="134"/>
        <scheme val="minor"/>
      </rPr>
      <t>​</t>
    </r>
  </si>
  <si>
    <t>317–420</t>
  </si>
  <si>
    <t>103年</t>
  </si>
  <si>
    <r>
      <rPr>
        <b/>
        <sz val="11"/>
        <rFont val="宋体"/>
        <charset val="134"/>
        <scheme val="minor"/>
      </rPr>
      <t>南北朝（并立诸朝合计）</t>
    </r>
    <r>
      <rPr>
        <sz val="11"/>
        <rFont val="宋体"/>
        <charset val="134"/>
        <scheme val="minor"/>
      </rPr>
      <t>​</t>
    </r>
  </si>
  <si>
    <t>420–589</t>
  </si>
  <si>
    <t>约169年</t>
  </si>
  <si>
    <r>
      <rPr>
        <b/>
        <sz val="11"/>
        <rFont val="宋体"/>
        <charset val="134"/>
        <scheme val="minor"/>
      </rPr>
      <t>隋朝</t>
    </r>
    <r>
      <rPr>
        <sz val="11"/>
        <rFont val="宋体"/>
        <charset val="134"/>
        <scheme val="minor"/>
      </rPr>
      <t>​</t>
    </r>
  </si>
  <si>
    <t>581–618</t>
  </si>
  <si>
    <t>37年</t>
  </si>
  <si>
    <r>
      <rPr>
        <b/>
        <sz val="11"/>
        <rFont val="宋体"/>
        <charset val="134"/>
        <scheme val="minor"/>
      </rPr>
      <t>唐朝</t>
    </r>
    <r>
      <rPr>
        <sz val="11"/>
        <rFont val="宋体"/>
        <charset val="134"/>
        <scheme val="minor"/>
      </rPr>
      <t>​</t>
    </r>
  </si>
  <si>
    <t>618–907</t>
  </si>
  <si>
    <t>289年</t>
  </si>
  <si>
    <r>
      <rPr>
        <b/>
        <sz val="11"/>
        <rFont val="宋体"/>
        <charset val="134"/>
        <scheme val="minor"/>
      </rPr>
      <t>五代十国</t>
    </r>
    <r>
      <rPr>
        <sz val="11"/>
        <rFont val="宋体"/>
        <charset val="134"/>
        <scheme val="minor"/>
      </rPr>
      <t>​</t>
    </r>
  </si>
  <si>
    <t>907–960</t>
  </si>
  <si>
    <t>约53年</t>
  </si>
  <si>
    <r>
      <rPr>
        <b/>
        <sz val="11"/>
        <rFont val="宋体"/>
        <charset val="134"/>
        <scheme val="minor"/>
      </rPr>
      <t>北宋</t>
    </r>
    <r>
      <rPr>
        <sz val="11"/>
        <rFont val="宋体"/>
        <charset val="134"/>
        <scheme val="minor"/>
      </rPr>
      <t>​</t>
    </r>
  </si>
  <si>
    <t>960–1127</t>
  </si>
  <si>
    <t>167年</t>
  </si>
  <si>
    <r>
      <rPr>
        <b/>
        <sz val="11"/>
        <rFont val="宋体"/>
        <charset val="134"/>
        <scheme val="minor"/>
      </rPr>
      <t>南宋</t>
    </r>
    <r>
      <rPr>
        <sz val="11"/>
        <rFont val="宋体"/>
        <charset val="134"/>
        <scheme val="minor"/>
      </rPr>
      <t>​</t>
    </r>
  </si>
  <si>
    <t>1127–1279</t>
  </si>
  <si>
    <t>152年</t>
  </si>
  <si>
    <r>
      <rPr>
        <b/>
        <sz val="11"/>
        <rFont val="宋体"/>
        <charset val="134"/>
        <scheme val="minor"/>
      </rPr>
      <t>元朝</t>
    </r>
    <r>
      <rPr>
        <sz val="11"/>
        <rFont val="宋体"/>
        <charset val="134"/>
        <scheme val="minor"/>
      </rPr>
      <t>​</t>
    </r>
  </si>
  <si>
    <t>1271–1368（实际控制中原至1368）</t>
  </si>
  <si>
    <t>97年</t>
  </si>
  <si>
    <r>
      <rPr>
        <b/>
        <sz val="11"/>
        <rFont val="宋体"/>
        <charset val="134"/>
        <scheme val="minor"/>
      </rPr>
      <t>明朝</t>
    </r>
    <r>
      <rPr>
        <sz val="11"/>
        <rFont val="宋体"/>
        <charset val="134"/>
        <scheme val="minor"/>
      </rPr>
      <t>​</t>
    </r>
  </si>
  <si>
    <t>1368–1644</t>
  </si>
  <si>
    <t>276年</t>
  </si>
  <si>
    <r>
      <rPr>
        <b/>
        <sz val="11"/>
        <rFont val="宋体"/>
        <charset val="134"/>
        <scheme val="minor"/>
      </rPr>
      <t>清朝</t>
    </r>
    <r>
      <rPr>
        <sz val="11"/>
        <rFont val="宋体"/>
        <charset val="134"/>
        <scheme val="minor"/>
      </rPr>
      <t>​</t>
    </r>
  </si>
  <si>
    <t>1644–1912</t>
  </si>
  <si>
    <t>268年</t>
  </si>
  <si>
    <t>开始
公元年</t>
  </si>
  <si>
    <t>结束
公元年</t>
  </si>
  <si>
    <t>开始
黄帝纪年</t>
  </si>
  <si>
    <t>结束
黄帝纪年</t>
  </si>
  <si>
    <t>长度 旧</t>
  </si>
  <si>
    <t>长度 新</t>
  </si>
  <si>
    <t>开始（新）
公元年</t>
  </si>
  <si>
    <t>结束（新）
公元年</t>
  </si>
  <si>
    <t>开始（新）
黄帝纪年</t>
  </si>
  <si>
    <t>结束（新）
黄帝纪年</t>
  </si>
  <si>
    <r>
      <t xml:space="preserve">备注
</t>
    </r>
    <r>
      <rPr>
        <sz val="11"/>
        <color rgb="FFFF0000"/>
        <rFont val="宋体"/>
        <charset val="134"/>
        <scheme val="minor"/>
      </rPr>
      <t>excel文件下载：1644.icu/t.xlsx</t>
    </r>
  </si>
  <si>
    <t>黄帝</t>
  </si>
  <si>
    <t>黄帝纪年算法参考：黄帝纪年
黄帝6438年更新：经AI核对本站历法，修正了纪年计算问题。本站将继续为黄帝纪年执规治历。
本站所使用的黄帝纪年算法是全网首发。修改自github@Jea杨的农历算法。经过数次修缮，已能稳定运作。同时，黄帝纪年的RESTful API也即将上线，免费为全球所有网站提供以黄帝登基时间为基准、以华夏历法为依据的授时服务。
下文转载自知乎作者“吉连”。
20世纪初，报刊上讨论过“黄帝纪年”问题，如1903年的《黄帝魂》认为，“黄帝开国”是在公元前2711年；1903年的《苏报》认为是在公元前2491年；1905年的《民报》则认为是在公元前2698年。20世纪中叶，翦伯赞在《中外历史年表》中，将五帝和夏、商、周各帝王的年数加起来，从公元前841年往前推算得出，黄帝开始执政是在公元前2550年[1]。
20世纪末，随着中国考古学的飞速发展，考古学界也对五帝时代进行了讨论。其主流观点是将龙山时代（公元前3000年至公元前2000年）视为“五帝时代”，与炎帝、黄帝、颛顼、帝喾、尧、舜活动的时代对应起来，不少学者将黄帝年代定为仰韶文化晚期到龙山时代早期（公元前3500至公元前2500年）。但许顺湛、黄怀信、陈连开等少数学者认为，炎黄时代与考古学上的仰韶文化（公元前5000年至公元前3000年）相对应。他们甚至明确指出，仰韶文化的半坡类型对应于炎帝文化，庙底沟类型对应于黄帝文化[2]，黄帝年代在仰韶文化中晚期[3]。这是根据各个考古学文化的特点来判定五帝活动的时代或对应的考古学文化，并由碳14测年数据来给出其年代框架。
在世纪之交，由中华炎黄文化研究会发起编辑的八卷本《炎黄汇典》，成为研究炎黄二帝及其时代、历史和文化的工具书，其中第一卷“史籍卷”中摘选了古代典籍和传世文献中有关炎帝、黄帝的历史资料，包括大量有关黄帝年代的历法记录。这为用历法记录计算黄帝年代提供了新的可能性。
这里，根据与黄帝相关的历法记录，利用高精度“瑞士星历表”（Swiss Ephemeris）软件来计算、分析和确定黄帝的历史年代。这些计算涉及到天文历法中的年月日干支、朔与节气的时刻以及日月五星的运动等。
黄帝“迎日推策”之年代
《史记》等史书记载：“黄帝得宝鼎宛朐，问于鬼臾区。区对曰：‘帝得宝鼎神策，是岁己酉朔旦冬至，得天之纪，终而复始。’于是黄帝迎日推策，后率二十岁得朔旦冬至，凡二十推，三百八十年，黄帝仙登于天。”这就是说，该年的冬至日同时也是朔日，其日干支为己酉。
为了充分检验各种可能性，将计算的时间段设定为公元前5400年至公元前2000年。计算步骤如下：第一，根据太阳和月亮的黄经相等条件计算所有朔的时刻，并精确到分钟，时间为北京时间；第二，计算所有冬至的时刻，即太阳黄经为270度时所对应的时刻，同样精确到分钟；第三，确定冬至和朔日是同一天的日期，并且该日的干支为己酉。计算结果为：公元前4375年1月22日（丙寅年戊子月己酉日）、公元前3574年1月17日（丁亥年庚子月己酉日）和公元前2773年1月12日（戊申年壬子月己酉日）。
颛顼的历法起始日为公元前2807年2月26日；颛顼生于约公元前2840年，逝于公元前2743年，在位时间约为公元前2820至公元前2743年。众所周知，五帝中的颛顼晚于黄帝年代，而在前述三个日期中，公元前2773年与颛顼的年代相重合，因此必须舍弃。这样，黄帝“迎日推策”的年代只需在公元前4375年和公元前3574年两者之间选择。
黄帝作《调历》之年代
《史记•索隐》记载：“《世本》及《律历志》：黄帝使羲和占日，常仪占月，臾区占星气，伶伦造律吕，大挠作甲子，隶首作算数；容成综此六术，而著《调历》。”又称：“唯黄帝及殷﹑周﹑鲁并建子为正”。而《后汉书》记载：“黄帝造历，元起辛卯。” 这些文献说明，黄帝《调历》始于某年子月的朔日，其日干支为辛卯。晋•皇甫谧在《帝王世纪》中说：“黄帝在位百年而崩，年百一十岁。”因此，黄帝作《调历》与黄帝“迎日推策”之间不会超过一百年。这样，在黄帝“迎日推策”年代附近两百年的时间范围内，于前面计算得到的所有朔日中寻找出子月（即包含节气冬至之月）朔的日干支为辛卯的所有日期，就可知道黄帝作《调历》的年代。
若黄帝“迎日推策”的年代为公元前4375年，则在公元前4475年至公元前4275年之间，“子月辛卯朔”有两个日期：公元前4444年1月6日（丁巳年庚子月辛卯日）和公元前4377年1月15日（甲子年甲子月辛卯日）；若黄帝“迎日推策”的年代为公元前3574年，则在公元前3674年至公元前3474年之间，“子月辛卯朔”有四个日期：公元前3633年1月9日（戊子年壬子月辛卯日）、公元前3608年12月23日（甲寅年甲子月辛卯日）、公元前3576年1月9日（乙酉年丙子月辛卯日）和公元前3483年1月1日（戊午年壬子月辛卯日）。
关于黄帝《调历》的资料还有宋•罗泌《路史》和清•吴成权《纲鉴易知录》的记载，他们称黄帝“以作《调历》，岁纪甲寅，日纪甲子”。但这种说法恐怕与《史记》“历术甲子篇”提到的“太初元年，岁名焉逢摄提格，月名毕聚，日得甲子，夜半朔旦冬至”有关，焉逢摄提格就是甲寅年，其实这只是司马迁心目中的《太初历》，而不是黄帝的《调历》。
黄帝即位之年代
关于黄帝即位的年代，元•释念常《佛祖历代通载》记载：“太史公史记称，黄帝三十八年，命风后定甲子”，而宋•刘恕《资治通鉴外纪》称“黄帝元年丁亥”。这说明黄帝即位于丁亥年，37年后（甲子年）定甲子、作《调历》，也就是黄帝作《调历》时为甲子年。
在前述黄帝作《调历》的六个日期中，只有公元前4377年1月15日这个日期属于甲子年。这样，就可以唯一地确定黄帝《调历》始于公元前4377年1月15日，同时说明黄帝“迎日推策”的“己酉朔旦冬至”为公元前4375年1月22日。由此可知，黄帝即位于公元前4414年（丁亥年）。
黄帝出生之年代
依据宋• 张 君房的《云笈七签》记载的“帝年十五，心虑无所不通，乃受国于有熊，袭封君之地”。按黄帝即位于公元前4414年，则黄帝出生于公元前4428年（癸酉年）。
《路史》罗苹注：“王冰序《宝椟记》云，黄帝以戊己日生，故以土王。《五行书》云，以戊子日生。”若按“建子”的定义，在公元前4428年里，日干支为戊子的日期有二月初二、四月初四、六月初五、八月初五、十月初六和 十二月初七 。
民间传说黄帝出生于二月初二“龙抬头”之时。公元前4400年左右，在二月（即包含节气大寒之月）里，当太阳落山之时，东方苍龙七宿的第一宿角宿就升起在东方的地平线上，这就是民间所称的“龙抬头”。而在公元前4450年至公元前4350年的一百年间，仅有唯一的“ 二月初二 戊子日”，即公元前4428年2月8日（癸酉年 二月初二 戊子日），这便是黄帝的出生日期。
黄帝杀蚩尤之年代
《路史》称：黄帝“年三十七，戮蚩尤于中冀。于是炎帝诸侯咸进委命，乃即帝位，都彭城。王承填而土行，故色尚黄，而天下号之黄帝。”《云笈七签》记载：“帝以罚叛之功……于是诸侯咸尊轩辕为天子。帝以己酉岁立，承神农之后，火生土，帝以土德称王天下，号黄帝。”同时，唐•王瓘《广黄帝本行纪》也提到“自黄帝己酉岁”。这些记载表明黄帝在37岁时“杀蚩尤、王天下”，该年为己酉年。
按照黄帝出生于公元前4428年，再加上36年，则黄帝“杀蚩尤、王天下”的年代为公元前4392年，同时该年恰好为己酉年。如此就进一步说明“黄帝《调历》始于公元前4377年1月15日”这个结论的正确性。
在《云笈七签》中还记载：“帝起有熊之墟，自号黄帝。帝乃恭己下士，侧身修德，在位二十一年，而蚩尤肆孽。”由此可知，蚩尤起兵于黄帝21年，即公元前4394年（丁未年），而被黄帝杀于公元前4392年（己酉年）。
黄帝祥瑞之年代
《今本竹书纪年》记载：黄帝“二十年，景云见。以云纪官，有景云之瑞。赤方气与青方气相连，赤方中有两星，青方中有一星，凡三星，皆黄色，以天清明时见于摄提，名曰景星。”其他记载还有“时有景星出见，形如半月”（《帝王世纪》）和“《史记》曰，黄帝时景星见，形如半月，可以夜作”（《渊鉴类函》）。从有关记载看，这很可能是一次超新星爆发现象，因为公元1006年超新星，史书记载为“见大星，色黄”、“状如半月，有芒角，煌煌然可以鉴物”（《宋史》等）。景星见于黄帝20年，则为公元前4395年（丙午年）。
《今本竹书纪年》中还有一条记载：黄帝“五十七年秋，七月庚申，凤鸟至，帝祭于洛水”。黄帝57年为公元前4358年，但无论按“建子”还是“建寅”计算，该年均无“七月庚申”这个日子。然而《帝王世纪》的记载是：“黄帝五十年，七月庚申，天下大雾，三日三夜，雾除，帝游洛水之上，大鱼负图而出，今《河图帝观篇》也。”按黄帝历法“建子”计算，即为公元前4365年8月8日（丙子年七月十三庚申日）。
黄帝奏《咸池》之年代
《吕氏春秋》记载：“昔黄帝令伶伦作为律……黄帝又命伶伦与荣援铸十二钟，以和五音，以施英韶，以仲春之月，乙卯之日，日在奎，始奏之，命之曰《咸池》”。而黄帝之乐《咸池》与天象有关。《乐叶图征》称：“黄帝乐曰《咸池》。《咸池》，五车天关也。”五车天关均是天上的星宿。《史记》记载：“西宫咸池，曰天五潢。五潢，五帝车舍。”《史记·正义》指出：“咸池三星，在五车中，天潢南，鱼鸟之所托也。”
然而，由于岁差效应的影响，仲春时“日在奎”只能发生在东周及其以后，在6000年以前是不可能的，那时是“日在毕觜之间”。唐初的李淳风就认为“日在奎”是依据秦历改写的（见《路史》罗苹注），《吕氏春秋》记载的“仲春之月，日在奎，昏弧中，旦建星中”就说明了这一点。笔者猜测黄帝奏《咸池》时是“月在奎”，而在编写《吕氏春秋》时有人依据当时流行的《月令》而将其改为“日在奎”。
如果黄帝奏《咸池》时是“月在奎”，同时是仲春月乙卯日。在公元前4414年（黄帝即位之年）至公元前4314年（黄帝在位百年）之间进行计算和寻找，可以确定为公元前4403年4月25日（戊戌年 四月廿六 乙卯日）、公元前4346年4月26日（乙未年 四月廿六 乙卯日）和公元前4336年5月3日（乙巳年 四月廿四 乙卯日）三个日期。
由于多种文献记载黄帝奏《咸池》是在杀蚩尤之后，而在公元前4336年5月3日清晨时月亮又偏靠壁宿，因此笔者倾向认为，黄帝奏《咸池》的日期是公元前4346年4月26日。该日恰好是节气春分，为仲春之月的标志，于是“帝张《咸池》之乐于洞庭之野”（《庄子》）。在仲春乙卯日的清晨，一弯残月挂在奎宿的下方，天上的“咸池”即五车星宿刚刚升出东方的地平线。于是黄帝将乐曲命名为《咸池》，而“仲春乙卯”这个特殊的日子也就流传下来了。
然而“月在奎”只是笔者的假设。若不是“月在奎”，则黄帝奏《咸池》的年代就宽泛多了，数年内就会遇到一次“仲春月乙卯日”。而在公元前4000年至公元前5000年的时间段里，在仲春时节（即包含节气春分之月）的清晨，均可看到“五车天关”等星宿从东方的地平线升起。
黄帝辞世之年代
《路史》记载：黄帝“八月既望，鼎成死焉”，该书罗苹注“《五行书》帝以甲戍日崩，一云戊午”。这说明黄帝辞世于“八月既望”，日干支为甲戍或戊午。按王国维的“月相四分说”，既望为十五六日以后至廿二三日。“夏商周断代工程”的定义为“既望：满月后月的光面尚未显著亏缺”，在其推定的西周金文历谱中的既望对应着从十六日到廿三日。依据既望的这种定义，并按“建子”的八月为未月（即包含节气大暑之月），在黄帝在位50年至100年之间进行查找，其结果如下：若日干支为甲戍，则有公元前4356年、4346年、4341年、4335年、4330年和4320年等六个年代；若日干支为戊午，则有公元前4359年、4358年、4348年、4333年、4327年和4322年等六个年代。若按张闻玉等的“月相定点说”，既望为十六日，则黄帝辞世于公元前4341年8月16日（庚子年八月十六甲戍日）或是公元前4359年9月4日（壬午年八月十六戊午日）。
关于黄帝的岁数或在位年数，在古代是众说纷纭。黄帝的在位年数有58年（《列子》）、78年（《路史》注）、100年（《博物志》和《帝王世纪》）、110年（《资治通鉴外纪》和《通志》）等说法，黄帝的岁数有110岁（《帝王世纪》等）和117岁（《路史》）等说法。如果这些说法中的数字是准确的话，则与上述“八月既望”的甲戍日或戊午日均不相合。如果这些数字是近似的，则会有多种年代的选择。
《列子》记载：“黄帝即位十有五年，喜天下戴己……又十有五年，忧天下之不治……又二十有八年，天下大治，几若华胥氏之国，而帝登假，百姓号之，二百余年不辍。”这说明黄帝在位58年，因而黄帝辞世于公元前4357年，其年黄帝72岁，但该年不符合“八月既望”甲戍日或戊午日。如果黄帝奏《咸池》的时间确实是在公元前4346年，且《列子》所记载的并不是从黄帝即位于有熊国算起，而是从黄帝“王天下”算起，那么，黄帝辞世的日期是公元前4335年9月14日（丙午年 八月廿二 甲戍日），其时黄帝94岁、在位80年。
黄帝年代之置信程度
通过以上计算和分析，可列出黄帝大事年表。根据文献资料的可靠性及各年代间的一致性，还可大致判定各个年代的置信程度。
置信程度最低的是黄帝辞世的年代，依据现有的资料尚无法得出一个可信的年代来。有关黄帝祥瑞和奏《咸池》的年代，置信程度也相对较低，这是由于文献的可靠性或相应记载有问题（如“日在奎”）而造成的。然而，关于黄帝出生、即位和杀蚩尤等年代的历法信息虽较为晚出，但计算出的相关年代却是相互一致的，说明这些信息可能是通过传承而保留下来的，因此这些年代具有相当的可靠性。同时，比较可靠的是黄帝作《调历》的年代，这是由于《后汉书》等史书记载的黄帝历法信息应该是准确的。
置信程度最高的是黄帝“迎日推策”的年代，因为从《史记》开始，很多史书均有类似记载。依据“己酉朔旦冬至”确定的黄帝年代是在公元前4375年或公元前3574年附近，若考虑其他文献资料或考古学的证据，就能确定出黄帝年代是在公元前4375年左右。
《史记》：己酉朔旦冬至。依据黄帝生年，可推算出黄帝甲子年为公元前4377年，以此也映证黄帝调历在公元前4377年1月15日（甲子年甲子月辛卯日）。
综上所述：
黄帝出生于公元前4428年2月8日（黄帝纪年前52年癸酉年二月初二戊子日），黄帝即位于前4414年，辞世于公元前4335年9月14日（丙午年 八月廿二 甲戍日），其时黄帝94岁、在位80年。
基于回溯性纪年，历法向反方向推演得出黄帝调历在公元前4377年1月15日（甲子年甲子月辛卯日）
由此可知中华民族始有统一的原始形态国家已经有6000余年的历史，而黄帝之前的神农氏已有四千年历史，中国人文历史始于万年之前的神农氏发明陶文天干时期。
尽管考古学界普遍认为五帝时代为龙山时代，炎黄年代距今5000年左右，但尚未见到有人结合考古学文化与文献资料来做深入具体的研究。与之相反，虽然“五帝时代要上延至仰韶时代、炎黄的历史文化应与仰韶文化相关”只是少数学者的认识，但他们是将考古学文化与文献资料结合起来进行研究论证的。现在，依据古代文献中有关黄帝年代的历法记录来进行计算分析，认为黄帝的年代应该始于仰韶文化前期，而这与考古学结合其他文献研究得出的结论相一致。</t>
  </si>
  <si>
    <t>少昊</t>
  </si>
  <si>
    <t>颛顼</t>
  </si>
  <si>
    <t>帝喾</t>
  </si>
  <si>
    <t>帝挚</t>
  </si>
  <si>
    <t>帝挚因不善政被废</t>
  </si>
  <si>
    <t>陶唐</t>
  </si>
  <si>
    <t>有虞</t>
  </si>
  <si>
    <t>夏朝</t>
  </si>
  <si>
    <t>商朝</t>
  </si>
  <si>
    <t>西周</t>
  </si>
  <si>
    <t>东周</t>
  </si>
  <si>
    <t>秦朝</t>
  </si>
  <si>
    <t>西汉按原作者推测为1270年，但考古断代可能会有误差，为了配平黄帝纪年，我在这里借了106年。各个朝代的时间 ，可能都会需要调整，后面如果有新证据我会调回来</t>
  </si>
  <si>
    <t>西汉</t>
  </si>
  <si>
    <t>参考资料：两汉—新莽 完整复合总验证｜天文原文+黄赤交角+土层+铜锈+碳化+出土实测（全公开无编造）
固定通用客观常数
1.黄赤交角：23°26′21.45″，递减46.84″/百年
2.黄土沉积：0.8mm/百年
3.青铜锈蚀：0.012mm/百年
4.松木碳化：0.15mm/百年
5.全部文物厚度取自国内汉墓考古公开实测报告
精准年代锚定
西汉：前2070—前800，历时1270年
新莽：前800—前760，历时40年
东汉：前760—220，历时980年
一、天文古籍原文+黄赤交角对应
1.西汉《史记·天官书》：汉之兴，五星聚于东井
全程黄赤交角平稳缓降，东井宿正对天极，星宿稳态无大幅漂移，长期天命平顺。
2.新莽《汉书·天文志》：星孛于张、地震天摇
短期极轴偏移、紫微垣偏斜，是天文换代断层，时间极短。
3.东汉《后汉书·天文志》：金犯轩辕，宿位归正
黄赤交角重回匀速缓降，星轨复位，气运接续平稳。
二、地层+锈蚀+碳化 统一精算
1、土层沉积
西汉计算：10.16mm
新莽计算：0.32mm
东汉计算：7.84mm
合计演算：18.32mm
考古出土实测：中原汉墓17.2–18.6mm
世俗短史演算：3.344mm，严重不符
2、青铜锈蚀层
西汉计算：0.1524mm
新莽计算：0.0048mm
东汉计算：0.1176mm
合计演算：0.2748mm
考古出土实测：汉铜器0.25–0.29mm
世俗短史演算：0.05016mm，严重不符
3、松木棺碳化层
西汉计算：1.905mm
新莽计算：0.06mm
东汉计算：1.47mm
合计演算：3.435mm
考古出土实测：汉棺3.2–3.5mm
世俗短史演算：0.627mm，严重不符
三、总结论
1.全部数据取自公开地质速率+汉墓实测，无编造；
2.天文原文、黄赤交角岁差、地层沉积、铜锈碳化，四重完全吻合；
3.世俗压缩两汉年限，全部物理厚度差4–5倍，违背自然规律；
4.唯一真实刻度：
前2070—前800西汉｜前800—前760新莽｜前760—220东汉。
西汉1200年，王莽40年，东汉近900年，国内考古实测的汉朝历史是2100年。</t>
  </si>
  <si>
    <t>新朝</t>
  </si>
  <si>
    <t>按原作者考证新朝也被拉长了，为40年，但这里我暂时不这么放，有点子夸张</t>
  </si>
  <si>
    <t>东汉</t>
  </si>
  <si>
    <t>原文作者认为东汉980年，并提供了考古数据。有可能断代上有问题，故我暂定他是把三国到南北朝的也算进去了。或是东汉的天文记录实际上延续到南北朝，而十六国等记载为割据政权。这样算下来东汉是597年</t>
  </si>
  <si>
    <t>三国</t>
  </si>
  <si>
    <t>西晋</t>
  </si>
  <si>
    <t>东晋</t>
  </si>
  <si>
    <t>南北朝</t>
  </si>
  <si>
    <t>隋朝</t>
  </si>
  <si>
    <t>暂时将隋唐合并</t>
  </si>
  <si>
    <t>唐朝</t>
  </si>
  <si>
    <t>按网上推测唐与宋同期 为割据政权</t>
  </si>
  <si>
    <t>五代十国</t>
  </si>
  <si>
    <t>北宋</t>
  </si>
  <si>
    <t>按天文推理，暂定宋1100年，参考资料：我本想打脸“宋朝有1100年”，却用NAS/据亲手证明了它
张宗义
+关注明义知理
237人赞同了该文章&gt;
∩1人听过无可靠信息来源√事情是这样的。
前几天在网上刷到一个帖子。标题特别夸张，大概意思是：宋朝根本不止300年。有人把1100多年的真历史，硬生生压缩成了300年。
我看完差点笑出声。
这年头的阴谋论也太离谱了。一个朝代的年限，全世界的史料都能对应上，你告诉我说改就改？
但笑完之后，我发现有点不对。
他们提了一个很刁钻的角度。天文记录。
天体运行没法撒谎。日食、月食、行星轨道，全部可以用现代天文软件精确反推。你可以在纸上篡改年份，但你没法让公元
1200年的太阳和月亮按照你的需要连成一条线。
如果一个说法是假的，那用NASA的全球公开数据库一跑，所有天象应该全对得上。直接一巴掌拍死。
如果对了呢？哪怕只对了一点点？
我决定自己下场。
不用任何人的分析文章。不看任何预设结论。只拿《宋史·天文志》原文。只拿NASA数据库和JPL星历表。让天体自己说话。我想的是花一个下午把这事说清楚，截个图，发回去打他们的脸。
结果我花了好几周。
有点笑不出来了。
一本账簿里，出现了一笔不存在的流水
我翻开《宋史·天文志》，挑了一条日食记录。
“嘉定十一年七月朔，日有食之□。”
什么意思呢？嘉定十一年七月初一，发生了一场日食。
先解释一下。在古代正史里，“日有食之”这四个字非常非常重。它不是推算，不是天气预报。它是观测记录。太阳真的被月亮挡住了，全京城的人都看见了，史官才往上写。作不了假。
嘉定十一年是哪一年？按照教科书，嘉定是南宋宁宗的年号，嘉定十一年是公元1218年。七月朔，就是七月初一，公历大概是7月底。
我心说这还不简单。打开NASA全球日食数据库，输进去。
这个数据库覆盖了从公元前2000年到公元3000年的每一次日食。精确到年月日，路径图，可见范围，全有。全人类最权威的天文数据，不可能错。
输入1218年7月。
我等着屏幕跳出来结果。没有。
我以为自己输错了。又把范围扩大到整个1218年。这一年只有一次日食，发生在12月。跟七月没有任何关系。
那一天，太阳、月亮、地球，根本没有连成一条线。全世界任何一个角落，都看不到这场日食。
史书上白纸黑字写着“日有食之”。NASA说：没有。
我当时倒是还能接受。万一整本《宋史》这段的日食全是编的呢？那也不是没可能。
于是我把嘉定年前后的日食记录全翻了出来，一条一条往NASA里输。
“嘉定三年六月丁巳朔，日有食之。”—查，有。“嘉定七年九月壬戌朔，日食于角。”—有。“嘉定九年二月甲申朔，日食于室。”—有。“嘉定十年七月丙子朔，日食于张。”—有。“嘉定十四年五月甲申朔，日食于毕。”—有。“嘉定十六年九月庚子朔，日食于轸。”—有。
前面全对。后面全对。就这一条，查无此食。
我的后背开始发麻。
你体会一下这个感觉。你不是在看别人的推论，你是亲手把数据输进去，亲手按回车，亲手看着屏幕上的结果弹出来。一条，两条，三条，全对。然后突然有一条，无论你怎么搜，搜哪个半球，就是没有。
史官不会编造日食。全京城老百姓都能见证的天象，写假的要被杀头。前后所有记录全部真实，那这条记录本身，也一定是真的
但1218年，它不存在。
那就只剩一种可能了。嘉定十一年，这个时间标签，是假的。有人拿了不知道什么年代的旧日食记录，贴上了南宋的年号，塞进了《宋史》里。
那个真正发生日食的年份，被删掉了。
现在的问题是：这条无家可归的日食，原本应该在哪一年？
用月食来围堵
年号可以改。但有两个东西改不了。
第一个是月份。“七月朔”就是七月初一，公历7到8月。这是天文学换算，不是历史学观点，谁都改不了。
第二个是月食。巧的是，嘉定十一年除了这条日食，《宋史·天文志》还记了两次月
食。原文是：
“十一年六月乙卯，月食。十二月壬子，月食，既。”
“既”是什么意思？月全食。整个月亮钻进地球影子里，变成暗红色。
现在，我们手里有三个独立天象，全部来自嘉定十一年内部：一次七月朔日食，一次六月月食，一次十二月月全食。
分开看，每一项单独搜都能筛出一堆候选年份。但把它们捏在一起，要求同一年里同时发生这三件事，候选名单就急剧缩窄。
我把公元1年到1400年之间所有七月朔日食拉出来，把六月月食拉出来，把十二月月全食拉出来，然后找交集。结果只有一个。
公元853年。
853年7月23日，日偏食。853年6月28日，月食。853年12月21日，月全食。
三重锁，全部扣死。
但光有853年一个点还不够。我需要确认整条嘉定年号是不是都落在这个时间窗口里。
天上掉下来一个证人
在翻《宋史·天文志》五星聚合部分的时候，我撞上了另一个罕见天象。
“嘉定二年六月，填星、荧惑、岁星合于井。”
填星是土星。荧惑是火星。岁星是木星。合于井，就是三颗星紧紧挤在井宿—双子座那一小片天区。
三颗行星聚在同一个星宿，几百年才有一次。天文学家管这叫“高精度指纹”，因为太好认了，不可能搞错。
我用JPL星历表回推公元1年到1400年之间所有的三星合于井事件。结果唯一解是公元844年。
现在，我有两条独立的线索了。嘉定二年三星合，锁在844年。嘉定十一年日食加双月食，锁在853年。
你注意看这两个年份之间的关系。嘉定二年到嘉定十一年，在史书里隔了九年。844年到853年，在物理上也隔了九年。
年号之间的间隔，和天象之间的间隔，完全吻合。
整条嘉定年号的自治检验
还不算完。如果整条嘉定年号真的属于这个时间窗口，那嘉定三年到十六年的所有日食记录，必须全部自洽于844到858年之间。
我一条一条查。
嘉定三年六月朔日食，回推公元845年6月，中国可见日偏食。对上了。
嘉定七年九月朔日食于角宿，回推公元849年9月，太阳正好在室女座（角宿），中国可见。对上了。
嘉定九年二月朔日食于室宿，回推公元851年2月，太阳在飞马座（室宿），中国可见。对上了。
嘉定十年七月朔日食于张宿，回推公元852年7月，太阳在长蛇座（张宿），中国可见。对上了。
嘉定十四年五月朔日食于毕宿，回推公元856年5月，太阳在金牛座（毕宿），中国可见。对上了。
嘉定十六年九月朔日食于轸宿，回推公元858年9月，太阳在乌鸦座（轸宿），中国可见。对上了。
七条日食记录，全部自洽于公元844到858年这个区间。没有一条矛盾。连每次日食时太阳所在的星宿，都和NASA回推的太阳位置完全吻合。
这不是巧合。这是整条嘉定年号，被整体贴错了时间标签。它记录的，是唐代中后期从唐武宗到唐宣宗之间十多年的真实天象。
同样的方法，庆元和宝庆也锁死了
翻到《宋史·天文志》庆元年间的记录：
“庆元四年七月，荧惑、岁星、填星合于女。”
又是三星合于女宿。JPL回推唯一解：公元509年。南北朝，梁武帝天监八年。
庆元年号内部还有四条实测日食记录。庆元元年三月朔日食，回推公元506年3月，中国可见。庆元四年正月朔日食，回推509年1月，中国可见。庆元五年正月朔日食，回推510年1月，中国可见。庆元六年六月朔日食，回推511年6月，中国可见。
四条全部自洽于506到511年。庆元年间，是南朝的。
更震撼的还在后面。
“宝庆二年正月壬午，太白、岁星、填星合于女。”“宝庆二年十月辛亥，荧惑、岁星、填星合于女。”
太白是金星。正月，金星、木星、土星挤在女宿。十月，火星替换金星，又跟木星、土星挤在同一个女宿。
同一年，同一宿，两组不同的三星聚合。公元1年到1400年，满足条件的只有一年：公元459年。南北朝，宋孝武帝大明三年。
现行纪年宝庆二年是公元1226年，全年没有任何一次三星聚合。一次都没有。但公元459年2月和10月，两组三星精确落入女宿。
宝庆三年六月朔日食，回推公元460年6月10日，中国可见日偏食。自治。
并非所有年号都有问题
查到这里，我交叉验证了《宋史》里的大量实测日食记录，发现并不是所有年号都被改过。
“德祐元年六月朔，日食，既，星见，鸡鹜皆归。”
日全食。星星出来了，鸡鸭回了窝。查NASA：公元1275年6月25日，日全食，全食带经过中国南部。年份正确，日期正确。现行纪年德祐元年就是公元1275年。
南宋末年的时间线，没有被改动过。被改动的是特定年号区间。
这意味着什么呢？篡改者不是把整部宋史一刀切地拉长了，而是把来自不同朝代的真记录剪碎，重新拼进了一条虚构的时间线。他们改不了的，是行星轨道。改不了的，是日食发生的精确日期。改不了的，是月全食砸在地球上的影子。这些物理事实，就像被压在废墟下面的骨头，安静地等着有人把它们挖出来。
结论
现在，来看已经被独立锁死的几个时间碎片
庆元年间的实测记录来自公元506到511年，南北朝梁武帝时期。
宝庆二年的天象锁死在公元459年，南北朝宋孝武帝时期。
嘉定年间的七条日食和两次三星合全部自洽于公元844到858年，唐代中后期。
沈括的熙宁七年极星三度锁死在公元1074年，这是唯一的基准锚点。
把这些年份放到一起看，一个荒唐的图景就浮现了。教科书把公元459年到1074年这六百多年的真实历史，压缩进了南宋不到一百年的年号框架里。庆元是南朝的，宝庆也是南朝的，嘉定是唐朝的，但它们全被贴上了南宋的年号。
我从一开始想打脸，到最后坐在屏幕前面一句话说不出来。天体不会撒谎。日食不会撒谎。行星的轨道不会撒谎。它们从几十亿年前就在那里安静地运行，等我们去看。
被改漏的天象，就是骨头上没刮干净的肉渣。它们不动。就等着有人来查。
如果天体运行不会撒谎，那谁在撒谎？《宋史》的年号序列是谁编的？那些被我们背了几百年的年份，到底是怎么来的？我们今天看到的历史，是一份原始档案，还是一份被精修过的剪辑版？
还有多少个公元459年，被贴上了错的年号，等着人去算？
这件事我能做的，目前到这里了。天体就在那里转。数据就公开在NASA数据库里。任何人都可以上手去算。任何人都可以来打我的脸。
现在，轮到你了。</t>
  </si>
  <si>
    <t>南宋</t>
  </si>
  <si>
    <t>元朝</t>
  </si>
  <si>
    <t>蒙据时期，可能造成短暂混乱，无朝代</t>
  </si>
  <si>
    <t>明朝</t>
  </si>
  <si>
    <t>按网上主流推测明朝578年</t>
  </si>
  <si>
    <t>清朝</t>
  </si>
  <si>
    <t>按网上推测将清朝缩短</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</si>
</sst>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b/>
      <sz val="11"/>
      <name val="宋体"/>
      <charset val="134"/>
      <scheme val="minor"/>
    </font>
    <font>
      <sz val="1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rgb="FFE0E0E0"/>
      </left>
      <right style="medium">
        <color rgb="FFE0E0E0"/>
      </right>
      <top style="medium">
        <color rgb="FFE0E0E0"/>
      </top>
      <bottom style="medium">
        <color rgb="FFE0E0E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9">
    <xf numFmtId="0" fontId="0" fillId="0" borderId="0" xfId="0">
      <alignment vertical="center"/>
    </xf>
    <xf numFmtId="0" fontId="0" fillId="0" borderId="0" xfId="0" applyAlignment="1">
      <alignment vertical="center" wrapText="1"/>
    </xf>
    <xf numFmtId="0" fontId="1" fillId="0" borderId="1" xfId="0" applyFont="1" applyBorder="1" applyAlignment="1">
      <alignment horizontal="left" vertical="center" wrapText="1"/>
    </xf>
    <xf numFmtId="0" fontId="1" fillId="0" borderId="1" xfId="0" applyFont="1" applyBorder="1" applyAlignment="1">
      <alignment horizontal="right" vertical="center" wrapText="1"/>
    </xf>
    <xf numFmtId="0" fontId="0" fillId="0" borderId="0" xfId="0" applyFont="1" applyAlignment="1">
      <alignment vertical="center" wrapText="1"/>
    </xf>
    <xf numFmtId="0" fontId="2" fillId="0" borderId="1" xfId="0" applyFont="1" applyBorder="1" applyAlignment="1">
      <alignment horizontal="left" vertical="center" wrapText="1"/>
    </xf>
    <xf numFmtId="0" fontId="2" fillId="0" borderId="1" xfId="0" applyFont="1" applyBorder="1" applyAlignment="1">
      <alignment horizontal="right" vertical="center" wrapText="1"/>
    </xf>
    <xf numFmtId="0" fontId="2" fillId="0" borderId="0" xfId="0" applyFont="1">
      <alignment vertical="center"/>
    </xf>
    <xf numFmtId="0" fontId="1"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1"/>
  <sheetViews>
    <sheetView workbookViewId="0">
      <selection activeCell="C3" sqref="C3"/>
    </sheetView>
  </sheetViews>
  <sheetFormatPr defaultColWidth="9.23076923076923" defaultRowHeight="16.8" outlineLevelCol="5"/>
  <cols>
    <col min="1" max="2" width="9.23076923076923" style="7"/>
    <col min="5" max="16384" width="9.23076923076923" style="7"/>
  </cols>
  <sheetData>
    <row r="1" ht="17.75" spans="1:6">
      <c r="A1" s="2" t="s">
        <v>0</v>
      </c>
      <c r="B1" s="2" t="s">
        <v>1</v>
      </c>
      <c r="C1" t="s">
        <v>2</v>
      </c>
      <c r="D1" t="s">
        <v>3</v>
      </c>
      <c r="E1" s="2" t="s">
        <v>4</v>
      </c>
    </row>
    <row r="2" ht="51.75" spans="1:6">
      <c r="A2" s="2" t="s">
        <v>5</v>
      </c>
      <c r="B2" s="5" t="s">
        <v>6</v>
      </c>
      <c r="C2">
        <v>-2070</v>
      </c>
      <c r="D2">
        <v>-1600</v>
      </c>
      <c r="E2" s="5" t="s">
        <v>7</v>
      </c>
      <c r="F2" s="7">
        <v>470</v>
      </c>
    </row>
    <row r="3" ht="51.75" spans="1:6">
      <c r="A3" s="2" t="s">
        <v>8</v>
      </c>
      <c r="B3" s="5" t="s">
        <v>9</v>
      </c>
      <c r="E3" s="5" t="s">
        <v>10</v>
      </c>
      <c r="F3" s="7">
        <v>550</v>
      </c>
    </row>
    <row r="4" ht="34.75" spans="1:6">
      <c r="A4" s="2" t="s">
        <v>11</v>
      </c>
      <c r="B4" s="5" t="s">
        <v>12</v>
      </c>
      <c r="E4" s="5" t="s">
        <v>13</v>
      </c>
      <c r="F4" s="7">
        <v>275</v>
      </c>
    </row>
    <row r="5" ht="51.75" spans="1:6">
      <c r="A5" s="8" t="s">
        <v>14</v>
      </c>
      <c r="B5" s="2" t="s">
        <v>15</v>
      </c>
      <c r="E5" s="2" t="s">
        <v>16</v>
      </c>
      <c r="F5" s="7">
        <v>549</v>
      </c>
    </row>
    <row r="6" ht="34.75" spans="1:6">
      <c r="A6" s="2" t="s">
        <v>17</v>
      </c>
      <c r="B6" s="5" t="s">
        <v>18</v>
      </c>
      <c r="E6" s="5" t="s">
        <v>19</v>
      </c>
      <c r="F6" s="7">
        <v>15</v>
      </c>
    </row>
    <row r="7" ht="34.75" spans="1:6">
      <c r="A7" s="2" t="s">
        <v>20</v>
      </c>
      <c r="B7" s="5" t="s">
        <v>21</v>
      </c>
      <c r="E7" s="5" t="s">
        <v>22</v>
      </c>
      <c r="F7" s="7">
        <v>210</v>
      </c>
    </row>
    <row r="8" ht="51.75" spans="1:6">
      <c r="A8" s="2" t="s">
        <v>23</v>
      </c>
      <c r="B8" s="5" t="s">
        <v>24</v>
      </c>
      <c r="E8" s="5" t="s">
        <v>19</v>
      </c>
      <c r="F8" s="7">
        <v>15</v>
      </c>
    </row>
    <row r="9" ht="17.75" spans="1:6">
      <c r="A9" s="2" t="s">
        <v>25</v>
      </c>
      <c r="B9" s="5" t="s">
        <v>26</v>
      </c>
      <c r="E9" s="5" t="s">
        <v>27</v>
      </c>
      <c r="F9" s="7">
        <v>195</v>
      </c>
    </row>
    <row r="10" ht="101.75" spans="1:6">
      <c r="A10" s="2" t="s">
        <v>28</v>
      </c>
      <c r="B10" s="5" t="s">
        <v>29</v>
      </c>
      <c r="E10" s="5" t="s">
        <v>30</v>
      </c>
      <c r="F10" s="7">
        <v>60</v>
      </c>
    </row>
    <row r="11" ht="68.75" spans="1:6">
      <c r="A11" s="2" t="s">
        <v>31</v>
      </c>
      <c r="B11" s="5" t="s">
        <v>32</v>
      </c>
      <c r="E11" s="5" t="s">
        <v>33</v>
      </c>
      <c r="F11" s="7">
        <v>37</v>
      </c>
    </row>
    <row r="12" ht="17.75" spans="1:6">
      <c r="A12" s="2" t="s">
        <v>34</v>
      </c>
      <c r="B12" s="5" t="s">
        <v>35</v>
      </c>
      <c r="E12" s="5" t="s">
        <v>36</v>
      </c>
      <c r="F12" s="7">
        <v>103</v>
      </c>
    </row>
    <row r="13" ht="68.75" spans="1:6">
      <c r="A13" s="2" t="s">
        <v>37</v>
      </c>
      <c r="B13" s="5" t="s">
        <v>38</v>
      </c>
      <c r="E13" s="5" t="s">
        <v>39</v>
      </c>
      <c r="F13" s="7">
        <v>169</v>
      </c>
    </row>
    <row r="14" ht="17.75" spans="1:6">
      <c r="A14" s="2" t="s">
        <v>40</v>
      </c>
      <c r="B14" s="5" t="s">
        <v>41</v>
      </c>
      <c r="E14" s="5" t="s">
        <v>42</v>
      </c>
      <c r="F14" s="7">
        <v>37</v>
      </c>
    </row>
    <row r="15" ht="17.75" spans="1:6">
      <c r="A15" s="2" t="s">
        <v>43</v>
      </c>
      <c r="B15" s="5" t="s">
        <v>44</v>
      </c>
      <c r="E15" s="5" t="s">
        <v>45</v>
      </c>
      <c r="F15" s="7">
        <v>289</v>
      </c>
    </row>
    <row r="16" ht="34.75" spans="1:6">
      <c r="A16" s="2" t="s">
        <v>46</v>
      </c>
      <c r="B16" s="5" t="s">
        <v>47</v>
      </c>
      <c r="E16" s="5" t="s">
        <v>48</v>
      </c>
      <c r="F16" s="7">
        <v>53</v>
      </c>
    </row>
    <row r="17" ht="34.75" spans="1:6">
      <c r="A17" s="2" t="s">
        <v>49</v>
      </c>
      <c r="B17" s="5" t="s">
        <v>50</v>
      </c>
      <c r="E17" s="5" t="s">
        <v>51</v>
      </c>
      <c r="F17" s="7">
        <v>167</v>
      </c>
    </row>
    <row r="18" ht="34.75" spans="1:6">
      <c r="A18" s="2" t="s">
        <v>52</v>
      </c>
      <c r="B18" s="5" t="s">
        <v>53</v>
      </c>
      <c r="E18" s="5" t="s">
        <v>54</v>
      </c>
      <c r="F18" s="7">
        <v>152</v>
      </c>
    </row>
    <row r="19" ht="84.75" spans="1:6">
      <c r="A19" s="2" t="s">
        <v>55</v>
      </c>
      <c r="B19" s="5" t="s">
        <v>56</v>
      </c>
      <c r="E19" s="5" t="s">
        <v>57</v>
      </c>
      <c r="F19" s="7">
        <v>97</v>
      </c>
    </row>
    <row r="20" ht="34.75" spans="1:6">
      <c r="A20" s="2" t="s">
        <v>58</v>
      </c>
      <c r="B20" s="5" t="s">
        <v>59</v>
      </c>
      <c r="E20" s="5" t="s">
        <v>60</v>
      </c>
      <c r="F20" s="7">
        <v>276</v>
      </c>
    </row>
    <row r="21" ht="34.75" spans="1:6">
      <c r="A21" s="2" t="s">
        <v>61</v>
      </c>
      <c r="B21" s="5" t="s">
        <v>62</v>
      </c>
      <c r="E21" s="5" t="s">
        <v>63</v>
      </c>
      <c r="F21" s="7">
        <v>268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8"/>
  <sheetViews>
    <sheetView tabSelected="1" zoomScale="85" zoomScaleNormal="85" workbookViewId="0">
      <pane ySplit="1" topLeftCell="A2" activePane="bottomLeft" state="frozen"/>
      <selection/>
      <selection pane="bottomLeft" activeCell="Q8" sqref="Q8"/>
    </sheetView>
  </sheetViews>
  <sheetFormatPr defaultColWidth="9.23076923076923" defaultRowHeight="20" customHeight="1"/>
  <cols>
    <col min="1" max="1" width="8.27884615384615" style="1" customWidth="1"/>
    <col min="2" max="3" width="9.23076923076923" style="1"/>
    <col min="4" max="4" width="9.31730769230769" style="1" customWidth="1"/>
    <col min="5" max="5" width="9.71153846153846" style="1" customWidth="1"/>
    <col min="6" max="6" width="7.88461538461539" style="1" customWidth="1"/>
    <col min="7" max="7" width="9.32692307692308" style="1" customWidth="1"/>
    <col min="8" max="8" width="11.4230769230769" style="1" customWidth="1"/>
    <col min="9" max="9" width="11.8557692307692" style="1" customWidth="1"/>
    <col min="10" max="10" width="11.8269230769231" style="1" customWidth="1"/>
    <col min="11" max="11" width="12.0769230769231" style="1" customWidth="1"/>
    <col min="12" max="12" width="31.7884615384615" style="1" customWidth="1"/>
    <col min="13" max="16384" width="9.23076923076923" style="1"/>
  </cols>
  <sheetData>
    <row r="1" ht="48" customHeight="1" spans="1:12">
      <c r="A1" s="2" t="s">
        <v>0</v>
      </c>
      <c r="B1" s="3" t="s">
        <v>64</v>
      </c>
      <c r="C1" s="3" t="s">
        <v>65</v>
      </c>
      <c r="D1" s="1" t="s">
        <v>66</v>
      </c>
      <c r="E1" s="1" t="s">
        <v>67</v>
      </c>
      <c r="F1" s="1" t="s">
        <v>68</v>
      </c>
      <c r="G1" s="1" t="s">
        <v>69</v>
      </c>
      <c r="H1" s="1" t="s">
        <v>70</v>
      </c>
      <c r="I1" s="1" t="s">
        <v>71</v>
      </c>
      <c r="J1" s="1" t="s">
        <v>72</v>
      </c>
      <c r="K1" s="1" t="s">
        <v>73</v>
      </c>
      <c r="L1" s="4" t="s">
        <v>74</v>
      </c>
    </row>
    <row r="2" customHeight="1" spans="1:12">
      <c r="A2" s="2" t="s">
        <v>75</v>
      </c>
      <c r="B2" s="3">
        <v>-2559</v>
      </c>
      <c r="C2" s="3">
        <v>-2459</v>
      </c>
      <c r="D2" s="1">
        <f>B2+4413</f>
        <v>1854</v>
      </c>
      <c r="E2" s="1">
        <f>C2+4413</f>
        <v>1954</v>
      </c>
      <c r="F2" s="1">
        <f t="array" ref="F2">C2-B2</f>
        <v>100</v>
      </c>
      <c r="G2" s="1">
        <v>100</v>
      </c>
      <c r="H2" s="1">
        <f t="array" ref="H2">I2-G2</f>
        <v>-4413</v>
      </c>
      <c r="I2" s="1">
        <f t="array" ref="I2">H3</f>
        <v>-4313</v>
      </c>
      <c r="J2" s="1">
        <f>H2+4413</f>
        <v>0</v>
      </c>
      <c r="K2" s="1">
        <f>I2+4413</f>
        <v>100</v>
      </c>
      <c r="L2" s="1" t="s">
        <v>76</v>
      </c>
    </row>
    <row r="3" customHeight="1" spans="1:12">
      <c r="A3" s="2" t="s">
        <v>77</v>
      </c>
      <c r="B3" s="3">
        <v>-2459</v>
      </c>
      <c r="C3" s="3">
        <v>-2375</v>
      </c>
      <c r="D3" s="1">
        <f t="shared" ref="D3:D8" si="0">B3+4413</f>
        <v>1954</v>
      </c>
      <c r="E3" s="1">
        <f t="shared" ref="E3:E8" si="1">C3+4413</f>
        <v>2038</v>
      </c>
      <c r="F3" s="1">
        <f t="array" ref="F3">C3-B3</f>
        <v>84</v>
      </c>
      <c r="G3" s="1">
        <v>84</v>
      </c>
      <c r="H3" s="1">
        <f t="array" ref="H3">I3-G3</f>
        <v>-4313</v>
      </c>
      <c r="I3" s="1">
        <f t="array" ref="I3">H4</f>
        <v>-4229</v>
      </c>
      <c r="J3" s="1">
        <f t="shared" ref="J3:J8" si="2">H3+4413</f>
        <v>100</v>
      </c>
      <c r="K3" s="1">
        <f t="shared" ref="K3:K8" si="3">I3+4413</f>
        <v>184</v>
      </c>
    </row>
    <row r="4" customHeight="1" spans="1:12">
      <c r="A4" s="2" t="s">
        <v>78</v>
      </c>
      <c r="B4" s="3">
        <v>-2375</v>
      </c>
      <c r="C4" s="3">
        <v>-2297</v>
      </c>
      <c r="D4" s="1">
        <f t="shared" si="0"/>
        <v>2038</v>
      </c>
      <c r="E4" s="1">
        <f t="shared" si="1"/>
        <v>2116</v>
      </c>
      <c r="F4" s="1">
        <f t="array" ref="F4">C4-B4</f>
        <v>78</v>
      </c>
      <c r="G4" s="1">
        <v>78</v>
      </c>
      <c r="H4" s="1">
        <f t="array" ref="H4">I4-G4</f>
        <v>-4229</v>
      </c>
      <c r="I4" s="1">
        <f t="array" ref="I4">H5</f>
        <v>-4151</v>
      </c>
      <c r="J4" s="1">
        <f t="shared" si="2"/>
        <v>184</v>
      </c>
      <c r="K4" s="1">
        <f t="shared" si="3"/>
        <v>262</v>
      </c>
    </row>
    <row r="5" customHeight="1" spans="1:12">
      <c r="A5" s="2" t="s">
        <v>79</v>
      </c>
      <c r="B5" s="3">
        <v>-2297</v>
      </c>
      <c r="C5" s="3">
        <v>-2227</v>
      </c>
      <c r="D5" s="1">
        <f t="shared" si="0"/>
        <v>2116</v>
      </c>
      <c r="E5" s="1">
        <f t="shared" si="1"/>
        <v>2186</v>
      </c>
      <c r="F5" s="1">
        <f t="array" ref="F5">C5-B5</f>
        <v>70</v>
      </c>
      <c r="G5" s="1">
        <v>70</v>
      </c>
      <c r="H5" s="1">
        <f t="array" ref="H5">I5-G5</f>
        <v>-4151</v>
      </c>
      <c r="I5" s="1">
        <f t="array" ref="I5">H6</f>
        <v>-4081</v>
      </c>
      <c r="J5" s="1">
        <f t="shared" si="2"/>
        <v>262</v>
      </c>
      <c r="K5" s="1">
        <f t="shared" si="3"/>
        <v>332</v>
      </c>
    </row>
    <row r="6" customHeight="1" spans="1:12">
      <c r="A6" s="2" t="s">
        <v>80</v>
      </c>
      <c r="B6" s="3">
        <v>-2227</v>
      </c>
      <c r="C6" s="3">
        <v>-2218</v>
      </c>
      <c r="D6" s="1">
        <f t="shared" si="0"/>
        <v>2186</v>
      </c>
      <c r="E6" s="1">
        <f t="shared" si="1"/>
        <v>2195</v>
      </c>
      <c r="F6" s="1">
        <f t="array" ref="F6">C6-B6</f>
        <v>9</v>
      </c>
      <c r="G6" s="1">
        <v>9</v>
      </c>
      <c r="H6" s="1">
        <f t="array" ref="H6">I6-G6</f>
        <v>-4081</v>
      </c>
      <c r="I6" s="1">
        <f t="array" ref="I6">H7</f>
        <v>-4072</v>
      </c>
      <c r="J6" s="1">
        <f t="shared" si="2"/>
        <v>332</v>
      </c>
      <c r="K6" s="1">
        <f t="shared" si="3"/>
        <v>341</v>
      </c>
      <c r="L6" s="1" t="s">
        <v>81</v>
      </c>
    </row>
    <row r="7" customHeight="1" spans="1:12">
      <c r="A7" s="2" t="s">
        <v>82</v>
      </c>
      <c r="B7" s="3">
        <v>-2218</v>
      </c>
      <c r="C7" s="3">
        <v>-2120</v>
      </c>
      <c r="D7" s="1">
        <f t="shared" si="0"/>
        <v>2195</v>
      </c>
      <c r="E7" s="1">
        <f t="shared" si="1"/>
        <v>2293</v>
      </c>
      <c r="F7" s="1">
        <f t="array" ref="F7">C7-B7</f>
        <v>98</v>
      </c>
      <c r="G7" s="1">
        <v>98</v>
      </c>
      <c r="H7" s="1">
        <f t="array" ref="H7">I7-G7</f>
        <v>-4072</v>
      </c>
      <c r="I7" s="1">
        <f t="array" ref="I7">H8</f>
        <v>-3974</v>
      </c>
      <c r="J7" s="1">
        <f t="shared" si="2"/>
        <v>341</v>
      </c>
      <c r="K7" s="1">
        <f t="shared" si="3"/>
        <v>439</v>
      </c>
    </row>
    <row r="8" customHeight="1" spans="1:12">
      <c r="A8" s="2" t="s">
        <v>83</v>
      </c>
      <c r="B8" s="3">
        <v>-2120</v>
      </c>
      <c r="C8" s="3">
        <v>-2070</v>
      </c>
      <c r="D8" s="1">
        <f t="shared" si="0"/>
        <v>2293</v>
      </c>
      <c r="E8" s="1">
        <f t="shared" si="1"/>
        <v>2343</v>
      </c>
      <c r="F8" s="1">
        <f t="array" ref="F8">C8-B8</f>
        <v>50</v>
      </c>
      <c r="G8" s="1">
        <v>50</v>
      </c>
      <c r="H8" s="1">
        <f t="array" ref="H8">I8-G8</f>
        <v>-3974</v>
      </c>
      <c r="I8" s="1">
        <f t="array" ref="I8">H9</f>
        <v>-3924</v>
      </c>
      <c r="J8" s="1">
        <f t="shared" si="2"/>
        <v>439</v>
      </c>
      <c r="K8" s="1">
        <f t="shared" si="3"/>
        <v>489</v>
      </c>
    </row>
    <row r="9" customHeight="1" spans="1:12">
      <c r="A9" s="5" t="s">
        <v>84</v>
      </c>
      <c r="B9" s="6">
        <v>-2070</v>
      </c>
      <c r="C9" s="6">
        <v>-1600</v>
      </c>
      <c r="D9" s="1">
        <f>B9+4413</f>
        <v>2343</v>
      </c>
      <c r="E9" s="1">
        <f>C9+4413</f>
        <v>2813</v>
      </c>
      <c r="F9" s="1">
        <f t="array" ref="F9">C9-B9</f>
        <v>470</v>
      </c>
      <c r="G9" s="1">
        <v>470</v>
      </c>
      <c r="H9" s="1">
        <f t="array" ref="H9">I9-G9</f>
        <v>-3924</v>
      </c>
      <c r="I9" s="1">
        <f t="array" ref="I9">H10</f>
        <v>-3454</v>
      </c>
      <c r="J9" s="1">
        <f t="shared" ref="J9:J27" si="4">H9+4413</f>
        <v>489</v>
      </c>
      <c r="K9" s="1">
        <f t="shared" ref="K9:K27" si="5">I9+4413</f>
        <v>959</v>
      </c>
    </row>
    <row r="10" customHeight="1" spans="1:12">
      <c r="A10" s="5" t="s">
        <v>85</v>
      </c>
      <c r="B10" s="6">
        <v>-1600</v>
      </c>
      <c r="C10" s="6">
        <v>-1046</v>
      </c>
      <c r="D10" s="1">
        <f t="shared" ref="D10:D28" si="6">B10+4413</f>
        <v>2813</v>
      </c>
      <c r="E10" s="1">
        <f t="shared" ref="E10:E28" si="7">C10+4413</f>
        <v>3367</v>
      </c>
      <c r="F10" s="1">
        <f t="array" ref="F10">C10-B10</f>
        <v>554</v>
      </c>
      <c r="G10" s="1">
        <v>554</v>
      </c>
      <c r="H10" s="1">
        <f t="array" ref="H10">I10-G10</f>
        <v>-3454</v>
      </c>
      <c r="I10" s="1">
        <f t="array" ref="I10">H11</f>
        <v>-2900</v>
      </c>
      <c r="J10" s="1">
        <f t="shared" si="4"/>
        <v>959</v>
      </c>
      <c r="K10" s="1">
        <f t="shared" si="5"/>
        <v>1513</v>
      </c>
    </row>
    <row r="11" customHeight="1" spans="1:12">
      <c r="A11" s="5" t="s">
        <v>86</v>
      </c>
      <c r="B11" s="6">
        <v>-1046</v>
      </c>
      <c r="C11" s="6">
        <v>-771</v>
      </c>
      <c r="D11" s="1">
        <f t="shared" si="6"/>
        <v>3367</v>
      </c>
      <c r="E11" s="1">
        <f t="shared" si="7"/>
        <v>3642</v>
      </c>
      <c r="F11" s="1">
        <f t="array" ref="F11">C11-B11</f>
        <v>275</v>
      </c>
      <c r="G11" s="1">
        <v>275</v>
      </c>
      <c r="H11" s="1">
        <f t="array" ref="H11">I11-G11</f>
        <v>-2900</v>
      </c>
      <c r="I11" s="1">
        <f t="array" ref="I11">H12</f>
        <v>-2625</v>
      </c>
      <c r="J11" s="1">
        <f t="shared" si="4"/>
        <v>1513</v>
      </c>
      <c r="K11" s="1">
        <f t="shared" si="5"/>
        <v>1788</v>
      </c>
    </row>
    <row r="12" customHeight="1" spans="1:12">
      <c r="A12" s="5" t="s">
        <v>87</v>
      </c>
      <c r="B12" s="6">
        <v>-770</v>
      </c>
      <c r="C12" s="6">
        <v>-221</v>
      </c>
      <c r="D12" s="1">
        <f t="shared" si="6"/>
        <v>3643</v>
      </c>
      <c r="E12" s="1">
        <f t="shared" si="7"/>
        <v>4192</v>
      </c>
      <c r="F12" s="1">
        <f t="array" ref="F12">C12-B12</f>
        <v>549</v>
      </c>
      <c r="G12" s="1">
        <v>549</v>
      </c>
      <c r="H12" s="1">
        <f t="array" ref="H12">I12-G12</f>
        <v>-2625</v>
      </c>
      <c r="I12" s="1">
        <f t="array" ref="I12">H13</f>
        <v>-2076</v>
      </c>
      <c r="J12" s="1">
        <f t="shared" si="4"/>
        <v>1788</v>
      </c>
      <c r="K12" s="1">
        <f t="shared" si="5"/>
        <v>2337</v>
      </c>
    </row>
    <row r="13" customHeight="1" spans="1:12">
      <c r="A13" s="5" t="s">
        <v>88</v>
      </c>
      <c r="B13" s="6">
        <v>-221</v>
      </c>
      <c r="C13" s="6">
        <v>-207</v>
      </c>
      <c r="D13" s="1">
        <f t="shared" si="6"/>
        <v>4192</v>
      </c>
      <c r="E13" s="1">
        <f t="shared" si="7"/>
        <v>4206</v>
      </c>
      <c r="F13" s="1">
        <f t="array" ref="F13">C13-B13</f>
        <v>14</v>
      </c>
      <c r="G13" s="1">
        <v>14</v>
      </c>
      <c r="H13" s="1">
        <f t="array" ref="H13">I13-G13</f>
        <v>-2076</v>
      </c>
      <c r="I13" s="1">
        <f t="array" ref="I13">H14</f>
        <v>-2062</v>
      </c>
      <c r="J13" s="1">
        <f t="shared" si="4"/>
        <v>2337</v>
      </c>
      <c r="K13" s="1">
        <f t="shared" si="5"/>
        <v>2351</v>
      </c>
      <c r="L13" s="1" t="s">
        <v>89</v>
      </c>
    </row>
    <row r="14" customHeight="1" spans="1:12">
      <c r="A14" s="5" t="s">
        <v>90</v>
      </c>
      <c r="B14" s="6">
        <v>-202</v>
      </c>
      <c r="C14" s="6">
        <v>8</v>
      </c>
      <c r="D14" s="1">
        <f t="shared" si="6"/>
        <v>4211</v>
      </c>
      <c r="E14" s="1">
        <f t="shared" si="7"/>
        <v>4421</v>
      </c>
      <c r="F14" s="1">
        <f t="array" ref="F14">C14-B14</f>
        <v>210</v>
      </c>
      <c r="G14" s="1">
        <v>1164</v>
      </c>
      <c r="H14" s="1">
        <f t="array" ref="H14">I14-G14</f>
        <v>-2062</v>
      </c>
      <c r="I14" s="1">
        <f t="array" ref="I14">H15</f>
        <v>-898</v>
      </c>
      <c r="J14" s="1">
        <f t="shared" si="4"/>
        <v>2351</v>
      </c>
      <c r="K14" s="1">
        <f t="shared" si="5"/>
        <v>3515</v>
      </c>
      <c r="L14" s="1" t="s">
        <v>91</v>
      </c>
    </row>
    <row r="15" customHeight="1" spans="1:12">
      <c r="A15" s="5" t="s">
        <v>92</v>
      </c>
      <c r="B15" s="6">
        <v>9</v>
      </c>
      <c r="C15" s="6">
        <v>23</v>
      </c>
      <c r="D15" s="1">
        <f t="shared" si="6"/>
        <v>4422</v>
      </c>
      <c r="E15" s="1">
        <f t="shared" si="7"/>
        <v>4436</v>
      </c>
      <c r="F15" s="1">
        <f t="array" ref="F15">C15-B15</f>
        <v>14</v>
      </c>
      <c r="G15" s="1">
        <v>14</v>
      </c>
      <c r="H15" s="1">
        <f t="array" ref="H15">I15-G15</f>
        <v>-898</v>
      </c>
      <c r="I15" s="1">
        <f t="array" ref="I15">H16</f>
        <v>-884</v>
      </c>
      <c r="J15" s="1">
        <f t="shared" si="4"/>
        <v>3515</v>
      </c>
      <c r="K15" s="1">
        <f t="shared" si="5"/>
        <v>3529</v>
      </c>
      <c r="L15" s="1" t="s">
        <v>93</v>
      </c>
    </row>
    <row r="16" customHeight="1" spans="1:12">
      <c r="A16" s="5" t="s">
        <v>94</v>
      </c>
      <c r="B16" s="6">
        <v>25</v>
      </c>
      <c r="C16" s="6">
        <v>220</v>
      </c>
      <c r="D16" s="1">
        <f t="shared" si="6"/>
        <v>4438</v>
      </c>
      <c r="E16" s="1">
        <f t="shared" si="7"/>
        <v>4633</v>
      </c>
      <c r="F16" s="1">
        <f t="array" ref="F16">C16-B16</f>
        <v>195</v>
      </c>
      <c r="G16" s="1">
        <v>597</v>
      </c>
      <c r="H16" s="1">
        <f t="array" ref="H16">I16-G16</f>
        <v>-884</v>
      </c>
      <c r="I16" s="1">
        <f t="array" ref="I16">H17</f>
        <v>-287</v>
      </c>
      <c r="J16" s="1">
        <f t="shared" si="4"/>
        <v>3529</v>
      </c>
      <c r="K16" s="1">
        <f t="shared" si="5"/>
        <v>4126</v>
      </c>
      <c r="L16" s="1" t="s">
        <v>95</v>
      </c>
    </row>
    <row r="17" customHeight="1" spans="1:12">
      <c r="A17" s="5" t="s">
        <v>96</v>
      </c>
      <c r="B17" s="6">
        <v>220</v>
      </c>
      <c r="C17" s="6">
        <v>280</v>
      </c>
      <c r="D17" s="1">
        <f t="shared" si="6"/>
        <v>4633</v>
      </c>
      <c r="E17" s="1">
        <f t="shared" si="7"/>
        <v>4693</v>
      </c>
      <c r="F17" s="1">
        <f t="array" ref="F17">C17-B17</f>
        <v>60</v>
      </c>
      <c r="G17" s="1">
        <v>60</v>
      </c>
      <c r="H17" s="1">
        <f t="array" ref="H17">I17-G17</f>
        <v>-287</v>
      </c>
      <c r="I17" s="1">
        <f t="array" ref="I17">H18</f>
        <v>-227</v>
      </c>
      <c r="J17" s="1">
        <f t="shared" si="4"/>
        <v>4126</v>
      </c>
      <c r="K17" s="1">
        <f t="shared" si="5"/>
        <v>4186</v>
      </c>
    </row>
    <row r="18" customHeight="1" spans="1:12">
      <c r="A18" s="5" t="s">
        <v>97</v>
      </c>
      <c r="B18" s="6">
        <v>265</v>
      </c>
      <c r="C18" s="6">
        <v>316</v>
      </c>
      <c r="D18" s="1">
        <f t="shared" si="6"/>
        <v>4678</v>
      </c>
      <c r="E18" s="1">
        <f t="shared" si="7"/>
        <v>4729</v>
      </c>
      <c r="F18" s="1">
        <f t="array" ref="F18">C18-B18</f>
        <v>51</v>
      </c>
      <c r="G18" s="1">
        <v>51</v>
      </c>
      <c r="H18" s="1">
        <f t="array" ref="H18">I18-G18</f>
        <v>-227</v>
      </c>
      <c r="I18" s="1">
        <f t="array" ref="I18">H19</f>
        <v>-176</v>
      </c>
      <c r="J18" s="1">
        <f t="shared" si="4"/>
        <v>4186</v>
      </c>
      <c r="K18" s="1">
        <f t="shared" si="5"/>
        <v>4237</v>
      </c>
    </row>
    <row r="19" customHeight="1" spans="1:12">
      <c r="A19" s="5" t="s">
        <v>98</v>
      </c>
      <c r="B19" s="6">
        <v>317</v>
      </c>
      <c r="C19" s="6">
        <v>420</v>
      </c>
      <c r="D19" s="1">
        <f t="shared" si="6"/>
        <v>4730</v>
      </c>
      <c r="E19" s="1">
        <f t="shared" si="7"/>
        <v>4833</v>
      </c>
      <c r="F19" s="1">
        <f t="array" ref="F19">C19-B19</f>
        <v>103</v>
      </c>
      <c r="G19" s="1">
        <v>103</v>
      </c>
      <c r="H19" s="1">
        <f t="array" ref="H19">I19-G19</f>
        <v>-176</v>
      </c>
      <c r="I19" s="1">
        <f t="array" ref="I19">H20</f>
        <v>-73</v>
      </c>
      <c r="J19" s="1">
        <f t="shared" si="4"/>
        <v>4237</v>
      </c>
      <c r="K19" s="1">
        <f t="shared" si="5"/>
        <v>4340</v>
      </c>
    </row>
    <row r="20" customHeight="1" spans="1:12">
      <c r="A20" s="5" t="s">
        <v>99</v>
      </c>
      <c r="B20" s="6">
        <v>420</v>
      </c>
      <c r="C20" s="6">
        <v>589</v>
      </c>
      <c r="D20" s="1">
        <f t="shared" si="6"/>
        <v>4833</v>
      </c>
      <c r="E20" s="1">
        <f t="shared" si="7"/>
        <v>5002</v>
      </c>
      <c r="F20" s="1">
        <f t="array" ref="F20">C20-B20</f>
        <v>169</v>
      </c>
      <c r="G20" s="1">
        <v>169</v>
      </c>
      <c r="H20" s="1">
        <f t="array" ref="H20">I20-G20</f>
        <v>-73</v>
      </c>
      <c r="I20" s="1">
        <f t="array" ref="I20">H21</f>
        <v>96</v>
      </c>
      <c r="J20" s="1">
        <f t="shared" si="4"/>
        <v>4340</v>
      </c>
      <c r="K20" s="1">
        <f t="shared" si="5"/>
        <v>4509</v>
      </c>
    </row>
    <row r="21" customHeight="1" spans="1:12">
      <c r="A21" s="5" t="s">
        <v>100</v>
      </c>
      <c r="B21" s="6">
        <v>581</v>
      </c>
      <c r="C21" s="6">
        <v>618</v>
      </c>
      <c r="D21" s="1">
        <f t="shared" si="6"/>
        <v>4994</v>
      </c>
      <c r="E21" s="1">
        <f t="shared" si="7"/>
        <v>5031</v>
      </c>
      <c r="F21" s="1">
        <f t="array" ref="F21">C21-B21</f>
        <v>37</v>
      </c>
      <c r="G21" s="1">
        <v>0</v>
      </c>
      <c r="H21" s="1">
        <f t="array" ref="H21">I21-G21</f>
        <v>96</v>
      </c>
      <c r="I21" s="1">
        <f t="array" ref="I21">H22</f>
        <v>96</v>
      </c>
      <c r="J21" s="1">
        <f t="shared" si="4"/>
        <v>4509</v>
      </c>
      <c r="K21" s="1">
        <f t="shared" si="5"/>
        <v>4509</v>
      </c>
      <c r="L21" s="1" t="s">
        <v>101</v>
      </c>
    </row>
    <row r="22" customHeight="1" spans="1:12">
      <c r="A22" s="5" t="s">
        <v>102</v>
      </c>
      <c r="B22" s="6">
        <v>618</v>
      </c>
      <c r="C22" s="6">
        <v>907</v>
      </c>
      <c r="D22" s="1">
        <f t="shared" si="6"/>
        <v>5031</v>
      </c>
      <c r="E22" s="1">
        <f t="shared" si="7"/>
        <v>5320</v>
      </c>
      <c r="F22" s="1">
        <f t="array" ref="F22">C22-B22</f>
        <v>289</v>
      </c>
      <c r="G22" s="1">
        <v>0</v>
      </c>
      <c r="H22" s="1">
        <f t="array" ref="H22">I22-G22</f>
        <v>96</v>
      </c>
      <c r="I22" s="1">
        <f t="array" ref="I22">H23</f>
        <v>96</v>
      </c>
      <c r="J22" s="1">
        <f t="shared" si="4"/>
        <v>4509</v>
      </c>
      <c r="K22" s="1">
        <f t="shared" si="5"/>
        <v>4509</v>
      </c>
      <c r="L22" s="1" t="s">
        <v>103</v>
      </c>
    </row>
    <row r="23" customHeight="1" spans="1:12">
      <c r="A23" s="5" t="s">
        <v>104</v>
      </c>
      <c r="B23" s="6">
        <v>907</v>
      </c>
      <c r="C23" s="6">
        <v>960</v>
      </c>
      <c r="D23" s="1">
        <f t="shared" si="6"/>
        <v>5320</v>
      </c>
      <c r="E23" s="1">
        <f t="shared" si="7"/>
        <v>5373</v>
      </c>
      <c r="F23" s="1">
        <f t="array" ref="F23">C23-B23</f>
        <v>53</v>
      </c>
      <c r="G23" s="1">
        <v>53</v>
      </c>
      <c r="H23" s="1">
        <f t="array" ref="H23">I23-G23</f>
        <v>96</v>
      </c>
      <c r="I23" s="1">
        <f t="array" ref="I23">H24</f>
        <v>149</v>
      </c>
      <c r="J23" s="1">
        <f t="shared" si="4"/>
        <v>4509</v>
      </c>
      <c r="K23" s="1">
        <f t="shared" si="5"/>
        <v>4562</v>
      </c>
    </row>
    <row r="24" customHeight="1" spans="1:12">
      <c r="A24" s="5" t="s">
        <v>105</v>
      </c>
      <c r="B24" s="6">
        <v>960</v>
      </c>
      <c r="C24" s="6">
        <v>1127</v>
      </c>
      <c r="D24" s="1">
        <f t="shared" si="6"/>
        <v>5373</v>
      </c>
      <c r="E24" s="1">
        <f t="shared" si="7"/>
        <v>5540</v>
      </c>
      <c r="F24" s="1">
        <f t="array" ref="F24">C24-B24</f>
        <v>167</v>
      </c>
      <c r="G24" s="1">
        <v>1100</v>
      </c>
      <c r="H24" s="1">
        <f t="array" ref="H24">I24-G24</f>
        <v>149</v>
      </c>
      <c r="I24" s="1">
        <f t="array" ref="I24">H25</f>
        <v>1249</v>
      </c>
      <c r="J24" s="1">
        <f t="shared" si="4"/>
        <v>4562</v>
      </c>
      <c r="K24" s="1">
        <f t="shared" si="5"/>
        <v>5662</v>
      </c>
      <c r="L24" s="1" t="s">
        <v>106</v>
      </c>
    </row>
    <row r="25" customHeight="1" spans="1:12">
      <c r="A25" s="5" t="s">
        <v>107</v>
      </c>
      <c r="B25" s="6">
        <v>1127</v>
      </c>
      <c r="C25" s="6">
        <v>1279</v>
      </c>
      <c r="D25" s="1">
        <f t="shared" si="6"/>
        <v>5540</v>
      </c>
      <c r="E25" s="1">
        <f t="shared" si="7"/>
        <v>5692</v>
      </c>
      <c r="F25" s="1">
        <f t="array" ref="F25">C25-B25</f>
        <v>152</v>
      </c>
      <c r="G25" s="1">
        <v>0</v>
      </c>
      <c r="H25" s="1">
        <f t="array" ref="H25">I25-G25</f>
        <v>1249</v>
      </c>
      <c r="I25" s="1">
        <f t="array" ref="I25">H26</f>
        <v>1249</v>
      </c>
      <c r="J25" s="1">
        <f t="shared" si="4"/>
        <v>5662</v>
      </c>
      <c r="K25" s="1">
        <f t="shared" si="5"/>
        <v>5662</v>
      </c>
    </row>
    <row r="26" customHeight="1" spans="1:12">
      <c r="A26" s="5" t="s">
        <v>108</v>
      </c>
      <c r="B26" s="6">
        <v>1271</v>
      </c>
      <c r="C26" s="6">
        <v>1368</v>
      </c>
      <c r="D26" s="1">
        <f t="shared" si="6"/>
        <v>5684</v>
      </c>
      <c r="E26" s="1">
        <f t="shared" si="7"/>
        <v>5781</v>
      </c>
      <c r="F26" s="1">
        <f t="array" ref="F26">C26-B26</f>
        <v>97</v>
      </c>
      <c r="G26" s="1">
        <v>0</v>
      </c>
      <c r="H26" s="1">
        <f t="array" ref="H26">I26-G26</f>
        <v>1249</v>
      </c>
      <c r="I26" s="1">
        <f t="array" ref="I26">H27</f>
        <v>1249</v>
      </c>
      <c r="J26" s="1">
        <f t="shared" si="4"/>
        <v>5662</v>
      </c>
      <c r="K26" s="1">
        <f t="shared" si="5"/>
        <v>5662</v>
      </c>
      <c r="L26" s="1" t="s">
        <v>109</v>
      </c>
    </row>
    <row r="27" customHeight="1" spans="1:12">
      <c r="A27" s="5" t="s">
        <v>110</v>
      </c>
      <c r="B27" s="6">
        <v>1368</v>
      </c>
      <c r="C27" s="6">
        <v>1644</v>
      </c>
      <c r="D27" s="1">
        <f t="shared" si="6"/>
        <v>5781</v>
      </c>
      <c r="E27" s="1">
        <f t="shared" si="7"/>
        <v>6057</v>
      </c>
      <c r="F27" s="1">
        <f t="array" ref="F27">C27-B27</f>
        <v>276</v>
      </c>
      <c r="G27" s="1">
        <v>578</v>
      </c>
      <c r="H27" s="1">
        <f t="array" ref="H27">I27-G27</f>
        <v>1249</v>
      </c>
      <c r="I27" s="1">
        <f t="array" ref="I27">H28</f>
        <v>1827</v>
      </c>
      <c r="J27" s="1">
        <f t="shared" si="4"/>
        <v>5662</v>
      </c>
      <c r="K27" s="1">
        <f t="shared" si="5"/>
        <v>6240</v>
      </c>
      <c r="L27" s="1" t="s">
        <v>111</v>
      </c>
    </row>
    <row r="28" customHeight="1" spans="1:12">
      <c r="A28" s="5" t="s">
        <v>112</v>
      </c>
      <c r="B28" s="6">
        <v>1644</v>
      </c>
      <c r="C28" s="6">
        <v>1912</v>
      </c>
      <c r="D28" s="1">
        <f t="shared" si="6"/>
        <v>6057</v>
      </c>
      <c r="E28" s="1">
        <f t="shared" si="7"/>
        <v>6325</v>
      </c>
      <c r="F28" s="1">
        <f t="array" ref="F28">C28-B28</f>
        <v>268</v>
      </c>
      <c r="G28" s="1">
        <v>85</v>
      </c>
      <c r="H28" s="1">
        <f t="array" ref="H28">I28-G28</f>
        <v>1827</v>
      </c>
      <c r="I28" s="1">
        <v>1912</v>
      </c>
      <c r="J28" s="1">
        <f>H28+4413</f>
        <v>6240</v>
      </c>
      <c r="K28" s="1">
        <f>I28+4413</f>
        <v>6325</v>
      </c>
      <c r="L28" s="1" t="s">
        <v>113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fz</dc:creator>
  <cp:lastModifiedBy>WPS_1778658960</cp:lastModifiedBy>
  <dcterms:created xsi:type="dcterms:W3CDTF">2026-05-28T01:44:00Z</dcterms:created>
  <dcterms:modified xsi:type="dcterms:W3CDTF">2026-05-27T20:45:27Z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B17898F75996C66E08BD166AD80F64BE_41</vt:lpwstr>
  </property>
  <property fmtid="{D5CDD505-2E9C-101B-9397-08002B2CF9AE}" pid="3" name="KSOProductBuildVer">
    <vt:lpwstr>2052-12.1.25895.25895</vt:lpwstr>
  </property>
  <property fmtid="{D5CDD505-2E9C-101B-9397-08002B2CF9AE}" pid="4" name="CalculationRule">
    <vt:i4>1</vt:i4>
  </property>
</Properties>
</file>