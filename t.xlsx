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Astra\Documents\projects\1644.icu\"/>
    </mc:Choice>
  </mc:AlternateContent>
  <xr:revisionPtr revIDLastSave="0" documentId="13_ncr:1_{2BB4B490-22B1-4686-95E9-AFF013B8E084}" xr6:coauthVersionLast="36" xr6:coauthVersionMax="36" xr10:uidLastSave="{00000000-0000-0000-0000-000000000000}"/>
  <bookViews>
    <workbookView xWindow="0" yWindow="0" windowWidth="29400" windowHeight="12640" tabRatio="351" xr2:uid="{00000000-000D-0000-FFFF-FFFF00000000}"/>
  </bookViews>
  <sheets>
    <sheet name="年表" sheetId="2" r:id="rId1"/>
    <sheet name="反篡改" sheetId="3" r:id="rId2"/>
    <sheet name="推论" sheetId="4" r:id="rId3"/>
    <sheet name="草稿" sheetId="5" r:id="rId4"/>
  </sheets>
  <calcPr calcId="191029"/>
</workbook>
</file>

<file path=xl/calcChain.xml><?xml version="1.0" encoding="utf-8"?>
<calcChain xmlns="http://schemas.openxmlformats.org/spreadsheetml/2006/main">
  <c r="I12" i="2" l="1" a="1"/>
  <c r="B12" i="2" a="1"/>
  <c r="D17" i="2"/>
  <c r="C17" i="2" a="1"/>
  <c r="C17" i="2" s="1"/>
  <c r="E17" i="2" s="1"/>
  <c r="K44" i="2"/>
  <c r="H44" i="2" a="1"/>
  <c r="H44" i="2" s="1"/>
  <c r="J44" i="2" s="1"/>
  <c r="F44" i="2" a="1"/>
  <c r="F44" i="2" s="1"/>
  <c r="E44" i="2"/>
  <c r="D44" i="2"/>
  <c r="F43" i="2" a="1"/>
  <c r="F43" i="2" s="1"/>
  <c r="E43" i="2"/>
  <c r="D43" i="2"/>
  <c r="F42" i="2" a="1"/>
  <c r="F42" i="2" s="1"/>
  <c r="E42" i="2"/>
  <c r="D42" i="2"/>
  <c r="F41" i="2" a="1"/>
  <c r="F41" i="2" s="1"/>
  <c r="E41" i="2"/>
  <c r="D41" i="2"/>
  <c r="F40" i="2" a="1"/>
  <c r="F40" i="2" s="1"/>
  <c r="E40" i="2"/>
  <c r="D40" i="2"/>
  <c r="F39" i="2" a="1"/>
  <c r="F39" i="2" s="1"/>
  <c r="E39" i="2"/>
  <c r="D39" i="2"/>
  <c r="F38" i="2" a="1"/>
  <c r="F38" i="2"/>
  <c r="E38" i="2"/>
  <c r="D38" i="2"/>
  <c r="F37" i="2" a="1"/>
  <c r="F37" i="2" s="1"/>
  <c r="E37" i="2"/>
  <c r="D37" i="2"/>
  <c r="F36" i="2" a="1"/>
  <c r="F36" i="2" s="1"/>
  <c r="E36" i="2"/>
  <c r="D36" i="2"/>
  <c r="F35" i="2" a="1"/>
  <c r="F35" i="2" s="1"/>
  <c r="E35" i="2"/>
  <c r="D35" i="2"/>
  <c r="F34" i="2" a="1"/>
  <c r="F34" i="2"/>
  <c r="E34" i="2"/>
  <c r="D34" i="2"/>
  <c r="F33" i="2" a="1"/>
  <c r="F33" i="2" s="1"/>
  <c r="E33" i="2"/>
  <c r="D33" i="2"/>
  <c r="F32" i="2" a="1"/>
  <c r="F32" i="2" s="1"/>
  <c r="E32" i="2"/>
  <c r="D32" i="2"/>
  <c r="F31" i="2" a="1"/>
  <c r="F31" i="2" s="1"/>
  <c r="E31" i="2"/>
  <c r="D31" i="2"/>
  <c r="F30" i="2" a="1"/>
  <c r="F30" i="2"/>
  <c r="E30" i="2"/>
  <c r="D30" i="2"/>
  <c r="F29" i="2" a="1"/>
  <c r="F29" i="2" s="1"/>
  <c r="E29" i="2"/>
  <c r="D29" i="2"/>
  <c r="F28" i="2" a="1"/>
  <c r="F28" i="2"/>
  <c r="E28" i="2"/>
  <c r="D28" i="2"/>
  <c r="F27" i="2" a="1"/>
  <c r="F27" i="2" s="1"/>
  <c r="E27" i="2"/>
  <c r="D27" i="2"/>
  <c r="F26" i="2" a="1"/>
  <c r="F26" i="2"/>
  <c r="E26" i="2"/>
  <c r="D26" i="2"/>
  <c r="F25" i="2" a="1"/>
  <c r="F25" i="2" s="1"/>
  <c r="E25" i="2"/>
  <c r="D25" i="2"/>
  <c r="F24" i="2" a="1"/>
  <c r="F24" i="2" s="1"/>
  <c r="E24" i="2"/>
  <c r="D24" i="2"/>
  <c r="F23" i="2" a="1"/>
  <c r="F23" i="2" s="1"/>
  <c r="E23" i="2"/>
  <c r="D23" i="2"/>
  <c r="F22" i="2" a="1"/>
  <c r="F22" i="2"/>
  <c r="E22" i="2"/>
  <c r="D22" i="2"/>
  <c r="F21" i="2" a="1"/>
  <c r="F21" i="2" s="1"/>
  <c r="E21" i="2"/>
  <c r="D21" i="2"/>
  <c r="F20" i="2" a="1"/>
  <c r="F20" i="2" s="1"/>
  <c r="E20" i="2"/>
  <c r="D20" i="2"/>
  <c r="F19" i="2" a="1"/>
  <c r="F19" i="2" s="1"/>
  <c r="E19" i="2"/>
  <c r="D19" i="2"/>
  <c r="F18" i="2" a="1"/>
  <c r="F18" i="2"/>
  <c r="E18" i="2"/>
  <c r="D18" i="2"/>
  <c r="I11" i="2" l="1" a="1"/>
  <c r="C12" i="2" a="1"/>
  <c r="B16" i="2" a="1"/>
  <c r="B16" i="2" s="1"/>
  <c r="D16" i="2" s="1"/>
  <c r="I43" i="2" a="1"/>
  <c r="I43" i="2" s="1"/>
  <c r="H11" i="2" l="1" a="1"/>
  <c r="B11" i="2" a="1"/>
  <c r="C16" i="2" a="1"/>
  <c r="C16" i="2" s="1"/>
  <c r="K43" i="2"/>
  <c r="H43" i="2" a="1"/>
  <c r="H43" i="2" s="1"/>
  <c r="I42" i="2" s="1" a="1"/>
  <c r="I42" i="2" s="1"/>
  <c r="H42" i="2" s="1" a="1"/>
  <c r="B15" i="2" a="1"/>
  <c r="B15" i="2" s="1"/>
  <c r="E16" i="2"/>
  <c r="I10" i="2" l="1" a="1"/>
  <c r="C11" i="2" a="1"/>
  <c r="D15" i="2"/>
  <c r="C15" i="2" a="1"/>
  <c r="C15" i="2" s="1"/>
  <c r="J43" i="2"/>
  <c r="K42" i="2"/>
  <c r="H42" i="2"/>
  <c r="I41" i="2" s="1" a="1"/>
  <c r="H10" i="2" l="1" a="1"/>
  <c r="B10" i="2" a="1"/>
  <c r="E15" i="2"/>
  <c r="B14" i="2" a="1"/>
  <c r="B14" i="2" s="1"/>
  <c r="J42" i="2"/>
  <c r="I41" i="2"/>
  <c r="H41" i="2" s="1" a="1"/>
  <c r="I9" i="2" l="1" a="1"/>
  <c r="C10" i="2" a="1"/>
  <c r="C14" i="2" a="1"/>
  <c r="C14" i="2" s="1"/>
  <c r="D14" i="2"/>
  <c r="K41" i="2"/>
  <c r="H41" i="2"/>
  <c r="I40" i="2" s="1" a="1"/>
  <c r="H9" i="2" l="1" a="1"/>
  <c r="B9" i="2" a="1"/>
  <c r="B13" i="2" a="1"/>
  <c r="B13" i="2" s="1"/>
  <c r="E14" i="2"/>
  <c r="J41" i="2"/>
  <c r="I40" i="2"/>
  <c r="H40" i="2" s="1" a="1"/>
  <c r="I8" i="2" l="1" a="1"/>
  <c r="C9" i="2" a="1"/>
  <c r="C13" i="2" a="1"/>
  <c r="C13" i="2" s="1"/>
  <c r="D13" i="2"/>
  <c r="K40" i="2"/>
  <c r="H40" i="2"/>
  <c r="I39" i="2" s="1" a="1"/>
  <c r="E13" i="2" l="1"/>
  <c r="B12" i="2"/>
  <c r="H8" i="2" a="1"/>
  <c r="B8" i="2" a="1"/>
  <c r="J40" i="2"/>
  <c r="I39" i="2"/>
  <c r="H39" i="2" s="1" a="1"/>
  <c r="D12" i="2" l="1"/>
  <c r="C12" i="2"/>
  <c r="I7" i="2" a="1"/>
  <c r="C8" i="2" a="1"/>
  <c r="K39" i="2"/>
  <c r="H39" i="2"/>
  <c r="I38" i="2" s="1" a="1"/>
  <c r="E12" i="2" l="1"/>
  <c r="B11" i="2"/>
  <c r="H7" i="2" a="1"/>
  <c r="B7" i="2" a="1"/>
  <c r="J39" i="2"/>
  <c r="I38" i="2"/>
  <c r="H38" i="2" s="1" a="1"/>
  <c r="D11" i="2" l="1"/>
  <c r="C11" i="2"/>
  <c r="I6" i="2" a="1"/>
  <c r="C7" i="2" a="1"/>
  <c r="K38" i="2"/>
  <c r="H38" i="2"/>
  <c r="I37" i="2" s="1" a="1"/>
  <c r="E11" i="2" l="1"/>
  <c r="B10" i="2"/>
  <c r="H6" i="2" a="1"/>
  <c r="B6" i="2" a="1"/>
  <c r="J38" i="2"/>
  <c r="I37" i="2"/>
  <c r="H37" i="2" s="1" a="1"/>
  <c r="D10" i="2" l="1"/>
  <c r="C10" i="2"/>
  <c r="I5" i="2" a="1"/>
  <c r="C6" i="2" a="1"/>
  <c r="K37" i="2"/>
  <c r="H37" i="2"/>
  <c r="I36" i="2" s="1" a="1"/>
  <c r="E10" i="2" l="1"/>
  <c r="B9" i="2"/>
  <c r="H5" i="2" a="1"/>
  <c r="B5" i="2" a="1"/>
  <c r="J37" i="2"/>
  <c r="I36" i="2"/>
  <c r="H36" i="2" s="1" a="1"/>
  <c r="D9" i="2" l="1"/>
  <c r="C9" i="2"/>
  <c r="I4" i="2" a="1"/>
  <c r="C5" i="2" a="1"/>
  <c r="K36" i="2"/>
  <c r="H36" i="2"/>
  <c r="I35" i="2" s="1" a="1"/>
  <c r="E9" i="2" l="1"/>
  <c r="B8" i="2"/>
  <c r="H4" i="2" a="1"/>
  <c r="B4" i="2" a="1"/>
  <c r="I35" i="2"/>
  <c r="H35" i="2" s="1" a="1"/>
  <c r="J36" i="2"/>
  <c r="D8" i="2" l="1"/>
  <c r="C8" i="2"/>
  <c r="I3" i="2" a="1"/>
  <c r="C4" i="2" a="1"/>
  <c r="K35" i="2"/>
  <c r="H35" i="2"/>
  <c r="I34" i="2" s="1" a="1"/>
  <c r="E8" i="2" l="1"/>
  <c r="B7" i="2"/>
  <c r="H3" i="2" a="1"/>
  <c r="B3" i="2" a="1"/>
  <c r="J35" i="2"/>
  <c r="I34" i="2"/>
  <c r="H34" i="2" s="1" a="1"/>
  <c r="D7" i="2" l="1"/>
  <c r="C7" i="2"/>
  <c r="I2" i="2" a="1"/>
  <c r="C3" i="2" a="1"/>
  <c r="K34" i="2"/>
  <c r="H34" i="2"/>
  <c r="I33" i="2" s="1" a="1"/>
  <c r="E7" i="2" l="1"/>
  <c r="B6" i="2"/>
  <c r="H2" i="2" a="1"/>
  <c r="B2" i="2" a="1"/>
  <c r="J34" i="2"/>
  <c r="I33" i="2"/>
  <c r="H33" i="2" s="1" a="1"/>
  <c r="D6" i="2" l="1"/>
  <c r="C6" i="2"/>
  <c r="C2" i="2" a="1"/>
  <c r="K33" i="2"/>
  <c r="H33" i="2"/>
  <c r="I32" i="2" s="1" a="1"/>
  <c r="E6" i="2" l="1"/>
  <c r="B5" i="2"/>
  <c r="J33" i="2"/>
  <c r="I32" i="2"/>
  <c r="H32" i="2" s="1" a="1"/>
  <c r="D5" i="2" l="1"/>
  <c r="C5" i="2"/>
  <c r="K32" i="2"/>
  <c r="H32" i="2"/>
  <c r="I31" i="2" s="1" a="1"/>
  <c r="E5" i="2" l="1"/>
  <c r="B4" i="2"/>
  <c r="J32" i="2"/>
  <c r="I31" i="2"/>
  <c r="H31" i="2" s="1" a="1"/>
  <c r="D4" i="2" l="1"/>
  <c r="C4" i="2"/>
  <c r="K31" i="2"/>
  <c r="H31" i="2"/>
  <c r="I30" i="2" s="1" a="1"/>
  <c r="E4" i="2" l="1"/>
  <c r="B3" i="2"/>
  <c r="I30" i="2"/>
  <c r="H30" i="2" s="1" a="1"/>
  <c r="J31" i="2"/>
  <c r="D3" i="2" l="1"/>
  <c r="C3" i="2"/>
  <c r="K30" i="2"/>
  <c r="H30" i="2"/>
  <c r="I29" i="2" s="1" a="1"/>
  <c r="E3" i="2" l="1"/>
  <c r="B2" i="2"/>
  <c r="J30" i="2"/>
  <c r="I29" i="2"/>
  <c r="H29" i="2" s="1" a="1"/>
  <c r="D2" i="2" l="1"/>
  <c r="C2" i="2"/>
  <c r="E2" i="2" s="1"/>
  <c r="K29" i="2"/>
  <c r="H29" i="2"/>
  <c r="I28" i="2" s="1" a="1"/>
  <c r="J29" i="2" l="1"/>
  <c r="I28" i="2"/>
  <c r="H28" i="2" s="1" a="1"/>
  <c r="K28" i="2" l="1"/>
  <c r="H28" i="2"/>
  <c r="I27" i="2" s="1" a="1"/>
  <c r="J28" i="2" l="1"/>
  <c r="I27" i="2"/>
  <c r="H27" i="2" s="1" a="1"/>
  <c r="K27" i="2" l="1"/>
  <c r="H27" i="2"/>
  <c r="I26" i="2" s="1" a="1"/>
  <c r="J27" i="2" l="1"/>
  <c r="I26" i="2"/>
  <c r="H26" i="2" s="1" a="1"/>
  <c r="K26" i="2" l="1"/>
  <c r="H26" i="2"/>
  <c r="I25" i="2" s="1" a="1"/>
  <c r="J26" i="2" l="1"/>
  <c r="I25" i="2"/>
  <c r="H25" i="2" s="1" a="1"/>
  <c r="K25" i="2" l="1"/>
  <c r="H25" i="2"/>
  <c r="I24" i="2" s="1" a="1"/>
  <c r="J25" i="2" l="1"/>
  <c r="I24" i="2"/>
  <c r="H24" i="2" s="1" a="1"/>
  <c r="K24" i="2" l="1"/>
  <c r="H24" i="2"/>
  <c r="I23" i="2" s="1" a="1"/>
  <c r="J24" i="2" l="1"/>
  <c r="I23" i="2"/>
  <c r="H23" i="2" s="1" a="1"/>
  <c r="K23" i="2" l="1"/>
  <c r="H23" i="2"/>
  <c r="I22" i="2" s="1" a="1"/>
  <c r="J23" i="2" l="1"/>
  <c r="I22" i="2"/>
  <c r="H22" i="2" s="1" a="1"/>
  <c r="K22" i="2" l="1"/>
  <c r="H22" i="2"/>
  <c r="I21" i="2" s="1" a="1"/>
  <c r="I21" i="2" l="1"/>
  <c r="H21" i="2" s="1" a="1"/>
  <c r="J22" i="2"/>
  <c r="K21" i="2" l="1"/>
  <c r="H21" i="2"/>
  <c r="I20" i="2" s="1" a="1"/>
  <c r="J21" i="2" l="1"/>
  <c r="I20" i="2"/>
  <c r="H20" i="2" s="1" a="1"/>
  <c r="K20" i="2" l="1"/>
  <c r="H20" i="2"/>
  <c r="I19" i="2" s="1" a="1"/>
  <c r="J20" i="2" l="1"/>
  <c r="I19" i="2"/>
  <c r="H19" i="2" s="1" a="1"/>
  <c r="K19" i="2" l="1"/>
  <c r="H19" i="2"/>
  <c r="I18" i="2" s="1" a="1"/>
  <c r="J19" i="2" l="1"/>
  <c r="I18" i="2"/>
  <c r="H18" i="2" s="1" a="1"/>
  <c r="H18" i="2" l="1"/>
  <c r="K18" i="2"/>
  <c r="J18" i="2" l="1"/>
  <c r="I17" i="2" a="1"/>
  <c r="I17" i="2" s="1"/>
  <c r="H17" i="2" l="1" a="1"/>
  <c r="H17" i="2" s="1"/>
  <c r="K17" i="2"/>
  <c r="I16" i="2" l="1" a="1"/>
  <c r="I16" i="2" s="1"/>
  <c r="J17" i="2"/>
  <c r="H16" i="2" l="1" a="1"/>
  <c r="H16" i="2" s="1"/>
  <c r="K16" i="2"/>
  <c r="I15" i="2" l="1" a="1"/>
  <c r="I15" i="2" s="1"/>
  <c r="J16" i="2"/>
  <c r="H15" i="2" l="1" a="1"/>
  <c r="H15" i="2" s="1"/>
  <c r="K15" i="2"/>
  <c r="J15" i="2" l="1"/>
  <c r="I14" i="2" a="1"/>
  <c r="I14" i="2" s="1"/>
  <c r="H14" i="2" l="1" a="1"/>
  <c r="H14" i="2" s="1"/>
  <c r="K14" i="2"/>
  <c r="J14" i="2" l="1"/>
  <c r="I13" i="2" a="1"/>
  <c r="I13" i="2" s="1"/>
  <c r="H13" i="2" l="1" a="1"/>
  <c r="H13" i="2" s="1"/>
  <c r="K13" i="2"/>
  <c r="J13" i="2" l="1"/>
  <c r="I12" i="2"/>
  <c r="H12" i="2" l="1" a="1"/>
  <c r="H12" i="2" s="1"/>
  <c r="K12" i="2"/>
  <c r="J12" i="2" l="1"/>
  <c r="I11" i="2"/>
  <c r="K11" i="2" l="1"/>
  <c r="H11" i="2"/>
  <c r="J11" i="2" l="1"/>
  <c r="I10" i="2"/>
  <c r="K10" i="2" l="1"/>
  <c r="H10" i="2"/>
  <c r="J10" i="2" l="1"/>
  <c r="I9" i="2"/>
  <c r="K9" i="2" l="1"/>
  <c r="H9" i="2"/>
  <c r="J9" i="2" l="1"/>
  <c r="I8" i="2"/>
  <c r="K8" i="2" l="1"/>
  <c r="H8" i="2"/>
  <c r="J8" i="2" l="1"/>
  <c r="I7" i="2"/>
  <c r="K7" i="2" l="1"/>
  <c r="H7" i="2"/>
  <c r="J7" i="2" l="1"/>
  <c r="I6" i="2"/>
  <c r="K6" i="2" l="1"/>
  <c r="H6" i="2"/>
  <c r="J6" i="2" l="1"/>
  <c r="I5" i="2"/>
  <c r="K5" i="2" l="1"/>
  <c r="H5" i="2"/>
  <c r="J5" i="2" l="1"/>
  <c r="I4" i="2"/>
  <c r="K4" i="2" l="1"/>
  <c r="H4" i="2"/>
  <c r="J4" i="2" l="1"/>
  <c r="I3" i="2"/>
  <c r="K3" i="2" l="1"/>
  <c r="H3" i="2"/>
  <c r="J3" i="2" l="1"/>
  <c r="I2" i="2"/>
  <c r="K2" i="2" l="1"/>
  <c r="H2" i="2"/>
  <c r="J2" i="2" s="1"/>
</calcChain>
</file>

<file path=xl/sharedStrings.xml><?xml version="1.0" encoding="utf-8"?>
<sst xmlns="http://schemas.openxmlformats.org/spreadsheetml/2006/main" count="581" uniqueCount="373">
  <si>
    <t>朝代</t>
  </si>
  <si>
    <t>开始
公元年</t>
  </si>
  <si>
    <t>结束
公元年</t>
  </si>
  <si>
    <t>开始
黄帝纪年</t>
  </si>
  <si>
    <t>结束
黄帝纪年</t>
  </si>
  <si>
    <t>长度 旧</t>
  </si>
  <si>
    <t>长度 新</t>
  </si>
  <si>
    <t>开始（新）
公元年</t>
  </si>
  <si>
    <t>结束（新）
公元年</t>
  </si>
  <si>
    <t>开始（新）
黄帝纪年</t>
  </si>
  <si>
    <t>结束（新）
黄帝纪年</t>
  </si>
  <si>
    <r>
      <t xml:space="preserve">备注
</t>
    </r>
    <r>
      <rPr>
        <sz val="11"/>
        <color rgb="FFFF0000"/>
        <rFont val="宋体"/>
        <charset val="134"/>
        <scheme val="minor"/>
      </rPr>
      <t>excel文件下载：1644.icu/t.xlsx</t>
    </r>
  </si>
  <si>
    <t>黄帝</t>
  </si>
  <si>
    <t>黄帝纪年算法参考：黄帝纪年
黄帝6438年更新：经AI核对本站历法，修正了纪年计算问题。本站将继续为黄帝纪年执规治历。
本站所使用的黄帝纪年算法是全网首发。修改自github@Jea杨的农历算法。经过数次修缮，已能稳定运作。同时，黄帝纪年的RESTful API也即将上线，免费为全球所有网站提供以黄帝登基时间为基准、以华夏历法为依据的授时服务。
下文转载自知乎作者“吉连”。
20世纪初，报刊上讨论过“黄帝纪年”问题，如1903年的《黄帝魂》认为，“黄帝开国”是在公元前2711年；1903年的《苏报》认为是在公元前2491年；1905年的《民报》则认为是在公元前2698年。20世纪中叶，翦伯赞在《中外历史年表》中，将五帝和夏、商、周各帝王的年数加起来，从公元前841年往前推算得出，黄帝开始执政是在公元前2550年[1]。
20世纪末，随着中国考古学的飞速发展，考古学界也对五帝时代进行了讨论。其主流观点是将龙山时代（公元前3000年至公元前2000年）视为“五帝时代”，与炎帝、黄帝、颛顼、帝喾、尧、舜活动的时代对应起来，不少学者将黄帝年代定为仰韶文化晚期到龙山时代早期（公元前3500至公元前2500年）。但许顺湛、黄怀信、陈连开等少数学者认为，炎黄时代与考古学上的仰韶文化（公元前5000年至公元前3000年）相对应。他们甚至明确指出，仰韶文化的半坡类型对应于炎帝文化，庙底沟类型对应于黄帝文化[2]，黄帝年代在仰韶文化中晚期[3]。这是根据各个考古学文化的特点来判定五帝活动的时代或对应的考古学文化，并由碳14测年数据来给出其年代框架。
在世纪之交，由中华炎黄文化研究会发起编辑的八卷本《炎黄汇典》，成为研究炎黄二帝及其时代、历史和文化的工具书，其中第一卷“史籍卷”中摘选了古代典籍和传世文献中有关炎帝、黄帝的历史资料，包括大量有关黄帝年代的历法记录。这为用历法记录计算黄帝年代提供了新的可能性。
这里，根据与黄帝相关的历法记录，利用高精度“瑞士星历表”（Swiss Ephemeris）软件来计算、分析和确定黄帝的历史年代。这些计算涉及到天文历法中的年月日干支、朔与节气的时刻以及日月五星的运动等。
黄帝“迎日推策”之年代
《史记》等史书记载：“黄帝得宝鼎宛朐，问于鬼臾区。区对曰：‘帝得宝鼎神策，是岁己酉朔旦冬至，得天之纪，终而复始。’于是黄帝迎日推策，后率二十岁得朔旦冬至，凡二十推，三百八十年，黄帝仙登于天。”这就是说，该年的冬至日同时也是朔日，其日干支为己酉。
为了充分检验各种可能性，将计算的时间段设定为公元前5400年至公元前2000年。计算步骤如下：第一，根据太阳和月亮的黄经相等条件计算所有朔的时刻，并精确到分钟，时间为北京时间；第二，计算所有冬至的时刻，即太阳黄经为270度时所对应的时刻，同样精确到分钟；第三，确定冬至和朔日是同一天的日期，并且该日的干支为己酉。计算结果为：公元前4375年1月22日（丙寅年戊子月己酉日）、公元前3574年1月17日（丁亥年庚子月己酉日）和公元前2773年1月12日（戊申年壬子月己酉日）。
颛顼的历法起始日为公元前2807年2月26日；颛顼生于约公元前2840年，逝于公元前2743年，在位时间约为公元前2820至公元前2743年。众所周知，五帝中的颛顼晚于黄帝年代，而在前述三个日期中，公元前2773年与颛顼的年代相重合，因此必须舍弃。这样，黄帝“迎日推策”的年代只需在公元前4375年和公元前3574年两者之间选择。
黄帝作《调历》之年代
《史记•索隐》记载：“《世本》及《律历志》：黄帝使羲和占日，常仪占月，臾区占星气，伶伦造律吕，大挠作甲子，隶首作算数；容成综此六术，而著《调历》。”又称：“唯黄帝及殷﹑周﹑鲁并建子为正”。而《后汉书》记载：“黄帝造历，元起辛卯。” 这些文献说明，黄帝《调历》始于某年子月的朔日，其日干支为辛卯。晋•皇甫谧在《帝王世纪》中说：“黄帝在位百年而崩，年百一十岁。”因此，黄帝作《调历》与黄帝“迎日推策”之间不会超过一百年。这样，在黄帝“迎日推策”年代附近两百年的时间范围内，于前面计算得到的所有朔日中寻找出子月（即包含节气冬至之月）朔的日干支为辛卯的所有日期，就可知道黄帝作《调历》的年代。
若黄帝“迎日推策”的年代为公元前4375年，则在公元前4475年至公元前4275年之间，“子月辛卯朔”有两个日期：公元前4444年1月6日（丁巳年庚子月辛卯日）和公元前4377年1月15日（甲子年甲子月辛卯日）；若黄帝“迎日推策”的年代为公元前3574年，则在公元前3674年至公元前3474年之间，“子月辛卯朔”有四个日期：公元前3633年1月9日（戊子年壬子月辛卯日）、公元前3608年12月23日（甲寅年甲子月辛卯日）、公元前3576年1月9日（乙酉年丙子月辛卯日）和公元前3483年1月1日（戊午年壬子月辛卯日）。
关于黄帝《调历》的资料还有宋•罗泌《路史》和清•吴成权《纲鉴易知录》的记载，他们称黄帝“以作《调历》，岁纪甲寅，日纪甲子”。但这种说法恐怕与《史记》“历术甲子篇”提到的“太初元年，岁名焉逢摄提格，月名毕聚，日得甲子，夜半朔旦冬至”有关，焉逢摄提格就是甲寅年，其实这只是司马迁心目中的《太初历》，而不是黄帝的《调历》。
黄帝即位之年代
关于黄帝即位的年代，元•释念常《佛祖历代通载》记载：“太史公史记称，黄帝三十八年，命风后定甲子”，而宋•刘恕《资治通鉴外纪》称“黄帝元年丁亥”。这说明黄帝即位于丁亥年，37年后（甲子年）定甲子、作《调历》，也就是黄帝作《调历》时为甲子年。
在前述黄帝作《调历》的六个日期中，只有公元前4377年1月15日这个日期属于甲子年。这样，就可以唯一地确定黄帝《调历》始于公元前4377年1月15日，同时说明黄帝“迎日推策”的“己酉朔旦冬至”为公元前4375年1月22日。由此可知，黄帝即位于公元前4414年（丁亥年）。
黄帝出生之年代
依据宋• 张 君房的《云笈七签》记载的“帝年十五，心虑无所不通，乃受国于有熊，袭封君之地”。按黄帝即位于公元前4414年，则黄帝出生于公元前4428年（癸酉年）。
《路史》罗苹注：“王冰序《宝椟记》云，黄帝以戊己日生，故以土王。《五行书》云，以戊子日生。”若按“建子”的定义，在公元前4428年里，日干支为戊子的日期有二月初二、四月初四、六月初五、八月初五、十月初六和 十二月初七 。
民间传说黄帝出生于二月初二“龙抬头”之时。公元前4400年左右，在二月（即包含节气大寒之月）里，当太阳落山之时，东方苍龙七宿的第一宿角宿就升起在东方的地平线上，这就是民间所称的“龙抬头”。而在公元前4450年至公元前4350年的一百年间，仅有唯一的“ 二月初二 戊子日”，即公元前4428年2月8日（癸酉年 二月初二 戊子日），这便是黄帝的出生日期。
黄帝杀蚩尤之年代
《路史》称：黄帝“年三十七，戮蚩尤于中冀。于是炎帝诸侯咸进委命，乃即帝位，都彭城。王承填而土行，故色尚黄，而天下号之黄帝。”《云笈七签》记载：“帝以罚叛之功……于是诸侯咸尊轩辕为天子。帝以己酉岁立，承神农之后，火生土，帝以土德称王天下，号黄帝。”同时，唐•王瓘《广黄帝本行纪》也提到“自黄帝己酉岁”。这些记载表明黄帝在37岁时“杀蚩尤、王天下”，该年为己酉年。
按照黄帝出生于公元前4428年，再加上36年，则黄帝“杀蚩尤、王天下”的年代为公元前4392年，同时该年恰好为己酉年。如此就进一步说明“黄帝《调历》始于公元前4377年1月15日”这个结论的正确性。
在《云笈七签》中还记载：“帝起有熊之墟，自号黄帝。帝乃恭己下士，侧身修德，在位二十一年，而蚩尤肆孽。”由此可知，蚩尤起兵于黄帝21年，即公元前4394年（丁未年），而被黄帝杀于公元前4392年（己酉年）。
黄帝祥瑞之年代
《今本竹书纪年》记载：黄帝“二十年，景云见。以云纪官，有景云之瑞。赤方气与青方气相连，赤方中有两星，青方中有一星，凡三星，皆黄色，以天清明时见于摄提，名曰景星。”其他记载还有“时有景星出见，形如半月”（《帝王世纪》）和“《史记》曰，黄帝时景星见，形如半月，可以夜作”（《渊鉴类函》）。从有关记载看，这很可能是一次超新星爆发现象，因为公元1006年超新星，史书记载为“见大星，色黄”、“状如半月，有芒角，煌煌然可以鉴物”（《宋史》等）。景星见于黄帝20年，则为公元前4395年（丙午年）。
《今本竹书纪年》中还有一条记载：黄帝“五十七年秋，七月庚申，凤鸟至，帝祭于洛水”。黄帝57年为公元前4358年，但无论按“建子”还是“建寅”计算，该年均无“七月庚申”这个日子。然而《帝王世纪》的记载是：“黄帝五十年，七月庚申，天下大雾，三日三夜，雾除，帝游洛水之上，大鱼负图而出，今《河图帝观篇》也。”按黄帝历法“建子”计算，即为公元前4365年8月8日（丙子年七月十三庚申日）。
黄帝奏《咸池》之年代
《吕氏春秋》记载：“昔黄帝令伶伦作为律……黄帝又命伶伦与荣援铸十二钟，以和五音，以施英韶，以仲春之月，乙卯之日，日在奎，始奏之，命之曰《咸池》”。而黄帝之乐《咸池》与天象有关。《乐叶图征》称：“黄帝乐曰《咸池》。《咸池》，五车天关也。”五车天关均是天上的星宿。《史记》记载：“西宫咸池，曰天五潢。五潢，五帝车舍。”《史记·正义》指出：“咸池三星，在五车中，天潢南，鱼鸟之所托也。”
然而，由于岁差效应的影响，仲春时“日在奎”只能发生在东周及其以后，在6000年以前是不可能的，那时是“日在毕觜之间”。唐初的李淳风就认为“日在奎”是依据秦历改写的（见《路史》罗苹注），《吕氏春秋》记载的“仲春之月，日在奎，昏弧中，旦建星中”就说明了这一点。笔者猜测黄帝奏《咸池》时是“月在奎”，而在编写《吕氏春秋》时有人依据当时流行的《月令》而将其改为“日在奎”。
如果黄帝奏《咸池》时是“月在奎”，同时是仲春月乙卯日。在公元前4414年（黄帝即位之年）至公元前4314年（黄帝在位百年）之间进行计算和寻找，可以确定为公元前4403年4月25日（戊戌年 四月廿六 乙卯日）、公元前4346年4月26日（乙未年 四月廿六 乙卯日）和公元前4336年5月3日（乙巳年 四月廿四 乙卯日）三个日期。
由于多种文献记载黄帝奏《咸池》是在杀蚩尤之后，而在公元前4336年5月3日清晨时月亮又偏靠壁宿，因此笔者倾向认为，黄帝奏《咸池》的日期是公元前4346年4月26日。该日恰好是节气春分，为仲春之月的标志，于是“帝张《咸池》之乐于洞庭之野”（《庄子》）。在仲春乙卯日的清晨，一弯残月挂在奎宿的下方，天上的“咸池”即五车星宿刚刚升出东方的地平线。于是黄帝将乐曲命名为《咸池》，而“仲春乙卯”这个特殊的日子也就流传下来了。
然而“月在奎”只是笔者的假设。若不是“月在奎”，则黄帝奏《咸池》的年代就宽泛多了，数年内就会遇到一次“仲春月乙卯日”。而在公元前4000年至公元前5000年的时间段里，在仲春时节（即包含节气春分之月）的清晨，均可看到“五车天关”等星宿从东方的地平线升起。
黄帝辞世之年代
《路史》记载：黄帝“八月既望，鼎成死焉”，该书罗苹注“《五行书》帝以甲戍日崩，一云戊午”。这说明黄帝辞世于“八月既望”，日干支为甲戍或戊午。按王国维的“月相四分说”，既望为十五六日以后至廿二三日。“夏商周断代工程”的定义为“既望：满月后月的光面尚未显著亏缺”，在其推定的西周金文历谱中的既望对应着从十六日到廿三日。依据既望的这种定义，并按“建子”的八月为未月（即包含节气大暑之月），在黄帝在位50年至100年之间进行查找，其结果如下：若日干支为甲戍，则有公元前4356年、4346年、4341年、4335年、4330年和4320年等六个年代；若日干支为戊午，则有公元前4359年、4358年、4348年、4333年、4327年和4322年等六个年代。若按张闻玉等的“月相定点说”，既望为十六日，则黄帝辞世于公元前4341年8月16日（庚子年八月十六甲戍日）或是公元前4359年9月4日（壬午年八月十六戊午日）。
关于黄帝的岁数或在位年数，在古代是众说纷纭。黄帝的在位年数有58年（《列子》）、78年（《路史》注）、100年（《博物志》和《帝王世纪》）、110年（《资治通鉴外纪》和《通志》）等说法，黄帝的岁数有110岁（《帝王世纪》等）和117岁（《路史》）等说法。如果这些说法中的数字是准确的话，则与上述“八月既望”的甲戍日或戊午日均不相合。如果这些数字是近似的，则会有多种年代的选择。
《列子》记载：“黄帝即位十有五年，喜天下戴己……又十有五年，忧天下之不治……又二十有八年，天下大治，几若华胥氏之国，而帝登假，百姓号之，二百余年不辍。”这说明黄帝在位58年，因而黄帝辞世于公元前4357年，其年黄帝72岁，但该年不符合“八月既望”甲戍日或戊午日。如果黄帝奏《咸池》的时间确实是在公元前4346年，且《列子》所记载的并不是从黄帝即位于有熊国算起，而是从黄帝“王天下”算起，那么，黄帝辞世的日期是公元前4335年9月14日（丙午年 八月廿二 甲戍日），其时黄帝94岁、在位80年。
黄帝年代之置信程度
通过以上计算和分析，可列出黄帝大事年表。根据文献资料的可靠性及各年代间的一致性，还可大致判定各个年代的置信程度。
置信程度最低的是黄帝辞世的年代，依据现有的资料尚无法得出一个可信的年代来。有关黄帝祥瑞和奏《咸池》的年代，置信程度也相对较低，这是由于文献的可靠性或相应记载有问题（如“日在奎”）而造成的。然而，关于黄帝出生、即位和杀蚩尤等年代的历法信息虽较为晚出，但计算出的相关年代却是相互一致的，说明这些信息可能是通过传承而保留下来的，因此这些年代具有相当的可靠性。同时，比较可靠的是黄帝作《调历》的年代，这是由于《后汉书》等史书记载的黄帝历法信息应该是准确的。
置信程度最高的是黄帝“迎日推策”的年代，因为从《史记》开始，很多史书均有类似记载。依据“己酉朔旦冬至”确定的黄帝年代是在公元前4375年或公元前3574年附近，若考虑其他文献资料或考古学的证据，就能确定出黄帝年代是在公元前4375年左右。
《史记》：己酉朔旦冬至。依据黄帝生年，可推算出黄帝甲子年为公元前4377年，以此也映证黄帝调历在公元前4377年1月15日（甲子年甲子月辛卯日）。
综上所述：
黄帝出生于公元前4428年2月8日（黄帝纪年前52年癸酉年二月初二戊子日），黄帝即位于前4414年，辞世于公元前4335年9月14日（丙午年 八月廿二 甲戍日），其时黄帝94岁、在位80年。
基于回溯性纪年，历法向反方向推演得出黄帝调历在公元前4377年1月15日（甲子年甲子月辛卯日）
由此可知中华民族始有统一的原始形态国家已经有6000余年的历史，而黄帝之前的神农氏已有四千年历史，中国人文历史始于万年之前的神农氏发明陶文天干时期。
尽管考古学界普遍认为五帝时代为龙山时代，炎黄年代距今5000年左右，但尚未见到有人结合考古学文化与文献资料来做深入具体的研究。与之相反，虽然“五帝时代要上延至仰韶时代、炎黄的历史文化应与仰韶文化相关”只是少数学者的认识，但他们是将考古学文化与文献资料结合起来进行研究论证的。现在，依据古代文献中有关黄帝年代的历法记录来进行计算分析，认为黄帝的年代应该始于仰韶文化前期，而这与考古学结合其他文献研究得出的结论相一致。</t>
  </si>
  <si>
    <t>少昊</t>
  </si>
  <si>
    <t>颛顼</t>
  </si>
  <si>
    <t>帝喾</t>
  </si>
  <si>
    <t>帝挚</t>
  </si>
  <si>
    <t>帝挚因不善政被废</t>
  </si>
  <si>
    <t>陶唐</t>
  </si>
  <si>
    <t>有虞</t>
  </si>
  <si>
    <t>夏朝</t>
  </si>
  <si>
    <t>商朝</t>
  </si>
  <si>
    <t>西周</t>
  </si>
  <si>
    <t>东周</t>
  </si>
  <si>
    <t>秦朝</t>
  </si>
  <si>
    <t>西汉</t>
  </si>
  <si>
    <t>参考资料：两汉—新莽 完整复合总验证｜天文原文+黄赤交角+土层+铜锈+碳化+出土实测（全公开无编造）
固定通用客观常数
1.黄赤交角：23°26′21.45″，递减46.84″/百年
2.黄土沉积：0.8mm/百年
3.青铜锈蚀：0.012mm/百年
4.松木碳化：0.15mm/百年
5.全部文物厚度取自国内汉墓考古公开实测报告
精准年代锚定
西汉：前2070—前800，历时1270年
新莽：前800—前760，历时40年
东汉：前760—220，历时980年
一、天文古籍原文+黄赤交角对应
1.西汉《史记·天官书》：汉之兴，五星聚于东井
全程黄赤交角平稳缓降，东井宿正对天极，星宿稳态无大幅漂移，长期天命平顺。
2.新莽《汉书·天文志》：星孛于张、地震天摇
短期极轴偏移、紫微垣偏斜，是天文换代断层，时间极短。
3.东汉《后汉书·天文志》：金犯轩辕，宿位归正
黄赤交角重回匀速缓降，星轨复位，气运接续平稳。
二、地层+锈蚀+碳化 统一精算
1、土层沉积
西汉计算：10.16mm
新莽计算：0.32mm
东汉计算：7.84mm
合计演算：18.32mm
考古出土实测：中原汉墓17.2–18.6mm
世俗短史演算：3.344mm，严重不符
2、青铜锈蚀层
西汉计算：0.1524mm
新莽计算：0.0048mm
东汉计算：0.1176mm
合计演算：0.2748mm
考古出土实测：汉铜器0.25–0.29mm
世俗短史演算：0.05016mm，严重不符
3、松木棺碳化层
西汉计算：1.905mm
新莽计算：0.06mm
东汉计算：1.47mm
合计演算：3.435mm
考古出土实测：汉棺3.2–3.5mm
世俗短史演算：0.627mm，严重不符
三、总结论
1.全部数据取自公开地质速率+汉墓实测，无编造；
2.天文原文、黄赤交角岁差、地层沉积、铜锈碳化，四重完全吻合；
3.世俗压缩两汉年限，全部物理厚度差4–5倍，违背自然规律；
4.唯一真实刻度：
前2070—前800西汉｜前800—前760新莽｜前760—220东汉。
西汉1200年，王莽40年，东汉近900年，国内考古实测的汉朝历史是2100年。</t>
  </si>
  <si>
    <t>新朝</t>
  </si>
  <si>
    <t>按原作者考证新朝也被拉长了，为40年，但这里我暂时不这么放，有点子夸张</t>
  </si>
  <si>
    <t>东汉</t>
  </si>
  <si>
    <t>原文作者认为东汉980年，并提供了考古数据。有可能断代上有问题，故我暂定他是把三国到南北朝的也算进去了。或是东汉的天文记录实际上延续到南北朝，而十六国等记载为割据政权。这样算下来东汉是597年</t>
  </si>
  <si>
    <t>三国</t>
  </si>
  <si>
    <t>西晋</t>
  </si>
  <si>
    <t>东晋</t>
  </si>
  <si>
    <t>南北朝</t>
  </si>
  <si>
    <t>隋朝</t>
  </si>
  <si>
    <t>暂时将隋唐合并</t>
  </si>
  <si>
    <t>唐朝</t>
  </si>
  <si>
    <t>按网上推测唐与宋同期 为割据政权</t>
  </si>
  <si>
    <t>五代十国</t>
  </si>
  <si>
    <t>北宋</t>
  </si>
  <si>
    <t>按天文推理，暂定宋1100年，参考资料：我本想打脸“宋朝有1100年”，却用NAS/据亲手证明了它
张宗义
+关注明义知理
237人赞同了该文章&gt;
∩1人听过无可靠信息来源√事情是这样的。
前几天在网上刷到一个帖子。标题特别夸张，大概意思是：宋朝根本不止300年。有人把1100多年的真历史，硬生生压缩成了300年。
我看完差点笑出声。
这年头的阴谋论也太离谱了。一个朝代的年限，全世界的史料都能对应上，你告诉我说改就改？
但笑完之后，我发现有点不对。
他们提了一个很刁钻的角度。天文记录。
天体运行没法撒谎。日食、月食、行星轨道，全部可以用现代天文软件精确反推。你可以在纸上篡改年份，但你没法让公元
1200年的太阳和月亮按照你的需要连成一条线。
如果一个说法是假的，那用NASA的全球公开数据库一跑，所有天象应该全对得上。直接一巴掌拍死。
如果对了呢？哪怕只对了一点点？
我决定自己下场。
不用任何人的分析文章。不看任何预设结论。只拿《宋史·天文志》原文。只拿NASA数据库和JPL星历表。让天体自己说话。我想的是花一个下午把这事说清楚，截个图，发回去打他们的脸。
结果我花了好几周。
有点笑不出来了。
一本账簿里，出现了一笔不存在的流水
我翻开《宋史·天文志》，挑了一条日食记录。
“嘉定十一年七月朔，日有食之□。”
什么意思呢？嘉定十一年七月初一，发生了一场日食。
先解释一下。在古代正史里，“日有食之”这四个字非常非常重。它不是推算，不是天气预报。它是观测记录。太阳真的被月亮挡住了，全京城的人都看见了，史官才往上写。作不了假。
嘉定十一年是哪一年？按照教科书，嘉定是南宋宁宗的年号，嘉定十一年是公元1218年。七月朔，就是七月初一，公历大概是7月底。
我心说这还不简单。打开NASA全球日食数据库，输进去。
这个数据库覆盖了从公元前2000年到公元3000年的每一次日食。精确到年月日，路径图，可见范围，全有。全人类最权威的天文数据，不可能错。
输入1218年7月。
我等着屏幕跳出来结果。没有。
我以为自己输错了。又把范围扩大到整个1218年。这一年只有一次日食，发生在12月。跟七月没有任何关系。
那一天，太阳、月亮、地球，根本没有连成一条线。全世界任何一个角落，都看不到这场日食。
史书上白纸黑字写着“日有食之”。NASA说：没有。
我当时倒是还能接受。万一整本《宋史》这段的日食全是编的呢？那也不是没可能。
于是我把嘉定年前后的日食记录全翻了出来，一条一条往NASA里输。
“嘉定三年六月丁巳朔，日有食之。”—查，有。“嘉定七年九月壬戌朔，日食于角。”—有。“嘉定九年二月甲申朔，日食于室。”—有。“嘉定十年七月丙子朔，日食于张。”—有。“嘉定十四年五月甲申朔，日食于毕。”—有。“嘉定十六年九月庚子朔，日食于轸。”—有。
前面全对。后面全对。就这一条，查无此食。
我的后背开始发麻。
你体会一下这个感觉。你不是在看别人的推论，你是亲手把数据输进去，亲手按回车，亲手看着屏幕上的结果弹出来。一条，两条，三条，全对。然后突然有一条，无论你怎么搜，搜哪个半球，就是没有。
史官不会编造日食。全京城老百姓都能见证的天象，写假的要被杀头。前后所有记录全部真实，那这条记录本身，也一定是真的
但1218年，它不存在。
那就只剩一种可能了。嘉定十一年，这个时间标签，是假的。有人拿了不知道什么年代的旧日食记录，贴上了南宋的年号，塞进了《宋史》里。
那个真正发生日食的年份，被删掉了。
现在的问题是：这条无家可归的日食，原本应该在哪一年？
用月食来围堵
年号可以改。但有两个东西改不了。
第一个是月份。“七月朔”就是七月初一，公历7到8月。这是天文学换算，不是历史学观点，谁都改不了。
第二个是月食。巧的是，嘉定十一年除了这条日食，《宋史·天文志》还记了两次月
食。原文是：
“十一年六月乙卯，月食。十二月壬子，月食，既。”
“既”是什么意思？月全食。整个月亮钻进地球影子里，变成暗红色。
现在，我们手里有三个独立天象，全部来自嘉定十一年内部：一次七月朔日食，一次六月月食，一次十二月月全食。
分开看，每一项单独搜都能筛出一堆候选年份。但把它们捏在一起，要求同一年里同时发生这三件事，候选名单就急剧缩窄。
我把公元1年到1400年之间所有七月朔日食拉出来，把六月月食拉出来，把十二月月全食拉出来，然后找交集。结果只有一个。
公元853年。
853年7月23日，日偏食。853年6月28日，月食。853年12月21日，月全食。
三重锁，全部扣死。
但光有853年一个点还不够。我需要确认整条嘉定年号是不是都落在这个时间窗口里。
天上掉下来一个证人
在翻《宋史·天文志》五星聚合部分的时候，我撞上了另一个罕见天象。
“嘉定二年六月，填星、荧惑、岁星合于井。”
填星是土星。荧惑是火星。岁星是木星。合于井，就是三颗星紧紧挤在井宿—双子座那一小片天区。
三颗行星聚在同一个星宿，几百年才有一次。天文学家管这叫“高精度指纹”，因为太好认了，不可能搞错。
我用JPL星历表回推公元1年到1400年之间所有的三星合于井事件。结果唯一解是公元844年。
现在，我有两条独立的线索了。嘉定二年三星合，锁在844年。嘉定十一年日食加双月食，锁在853年。
你注意看这两个年份之间的关系。嘉定二年到嘉定十一年，在史书里隔了九年。844年到853年，在物理上也隔了九年。
年号之间的间隔，和天象之间的间隔，完全吻合。
整条嘉定年号的自治检验
还不算完。如果整条嘉定年号真的属于这个时间窗口，那嘉定三年到十六年的所有日食记录，必须全部自洽于844到858年之间。
我一条一条查。
嘉定三年六月朔日食，回推公元845年6月，中国可见日偏食。对上了。
嘉定七年九月朔日食于角宿，回推公元849年9月，太阳正好在室女座（角宿），中国可见。对上了。
嘉定九年二月朔日食于室宿，回推公元851年2月，太阳在飞马座（室宿），中国可见。对上了。
嘉定十年七月朔日食于张宿，回推公元852年7月，太阳在长蛇座（张宿），中国可见。对上了。
嘉定十四年五月朔日食于毕宿，回推公元856年5月，太阳在金牛座（毕宿），中国可见。对上了。
嘉定十六年九月朔日食于轸宿，回推公元858年9月，太阳在乌鸦座（轸宿），中国可见。对上了。
七条日食记录，全部自洽于公元844到858年这个区间。没有一条矛盾。连每次日食时太阳所在的星宿，都和NASA回推的太阳位置完全吻合。
这不是巧合。这是整条嘉定年号，被整体贴错了时间标签。它记录的，是唐代中后期从唐武宗到唐宣宗之间十多年的真实天象。
同样的方法，庆元和宝庆也锁死了
翻到《宋史·天文志》庆元年间的记录：
“庆元四年七月，荧惑、岁星、填星合于女。”
又是三星合于女宿。JPL回推唯一解：公元509年。南北朝，梁武帝天监八年。
庆元年号内部还有四条实测日食记录。庆元元年三月朔日食，回推公元506年3月，中国可见。庆元四年正月朔日食，回推509年1月，中国可见。庆元五年正月朔日食，回推510年1月，中国可见。庆元六年六月朔日食，回推511年6月，中国可见。
四条全部自洽于506到511年。庆元年间，是南朝的。
更震撼的还在后面。
“宝庆二年正月壬午，太白、岁星、填星合于女。”“宝庆二年十月辛亥，荧惑、岁星、填星合于女。”
太白是金星。正月，金星、木星、土星挤在女宿。十月，火星替换金星，又跟木星、土星挤在同一个女宿。
同一年，同一宿，两组不同的三星聚合。公元1年到1400年，满足条件的只有一年：公元459年。南北朝，宋孝武帝大明三年。
现行纪年宝庆二年是公元1226年，全年没有任何一次三星聚合。一次都没有。但公元459年2月和10月，两组三星精确落入女宿。
宝庆三年六月朔日食，回推公元460年6月10日，中国可见日偏食。自治。
并非所有年号都有问题
查到这里，我交叉验证了《宋史》里的大量实测日食记录，发现并不是所有年号都被改过。
“德祐元年六月朔，日食，既，星见，鸡鹜皆归。”
日全食。星星出来了，鸡鸭回了窝。查NASA：公元1275年6月25日，日全食，全食带经过中国南部。年份正确，日期正确。现行纪年德祐元年就是公元1275年。
南宋末年的时间线，没有被改动过。被改动的是特定年号区间。
这意味着什么呢？篡改者不是把整部宋史一刀切地拉长了，而是把来自不同朝代的真记录剪碎，重新拼进了一条虚构的时间线。他们改不了的，是行星轨道。改不了的，是日食发生的精确日期。改不了的，是月全食砸在地球上的影子。这些物理事实，就像被压在废墟下面的骨头，安静地等着有人把它们挖出来。
结论
现在，来看已经被独立锁死的几个时间碎片
庆元年间的实测记录来自公元506到511年，南北朝梁武帝时期。
宝庆二年的天象锁死在公元459年，南北朝宋孝武帝时期。
嘉定年间的七条日食和两次三星合全部自洽于公元844到858年，唐代中后期。
沈括的熙宁七年极星三度锁死在公元1074年，这是唯一的基准锚点。
把这些年份放到一起看，一个荒唐的图景就浮现了。教科书把公元459年到1074年这六百多年的真实历史，压缩进了南宋不到一百年的年号框架里。庆元是南朝的，宝庆也是南朝的，嘉定是唐朝的，但它们全被贴上了南宋的年号。
我从一开始想打脸，到最后坐在屏幕前面一句话说不出来。天体不会撒谎。日食不会撒谎。行星的轨道不会撒谎。它们从几十亿年前就在那里安静地运行，等我们去看。
被改漏的天象，就是骨头上没刮干净的肉渣。它们不动。就等着有人来查。
如果天体运行不会撒谎，那谁在撒谎？《宋史》的年号序列是谁编的？那些被我们背了几百年的年份，到底是怎么来的？我们今天看到的历史，是一份原始档案，还是一份被精修过的剪辑版？
还有多少个公元459年，被贴上了错的年号，等着人去算？
这件事我能做的，目前到这里了。天体就在那里转。数据就公开在NASA数据库里。任何人都可以上手去算。任何人都可以来打我的脸。
现在，轮到你了。</t>
  </si>
  <si>
    <t>南宋</t>
  </si>
  <si>
    <t>元朝</t>
  </si>
  <si>
    <t>蒙据时期，可能造成短暂混乱，无朝代</t>
  </si>
  <si>
    <t>明朝</t>
  </si>
  <si>
    <t>按网上主流推测明朝578年</t>
  </si>
  <si>
    <t>清朝</t>
  </si>
  <si>
    <t>按网上推测将清朝缩短</t>
  </si>
  <si>
    <t>西汉按原作者推测为1270年，但考古断代可能会有误差，为了配平黄帝纪年，我在这里借了86年。各个朝代的时间 ，可能都会需要调整，后面如果有新证据我会调回来</t>
    <phoneticPr fontId="4" type="noConversion"/>
  </si>
  <si>
    <t>榆罔</t>
    <phoneticPr fontId="4" type="noConversion"/>
  </si>
  <si>
    <t>炎帝</t>
    <phoneticPr fontId="4" type="noConversion"/>
  </si>
  <si>
    <t>首任炎帝（神农氏）石年登基，传8代，共520年</t>
    <phoneticPr fontId="4" type="noConversion"/>
  </si>
  <si>
    <t>先神农</t>
    <phoneticPr fontId="4" type="noConversion"/>
  </si>
  <si>
    <t>伏羲氏</t>
    <phoneticPr fontId="4" type="noConversion"/>
  </si>
  <si>
    <t>太昊氏</t>
    <phoneticPr fontId="4" type="noConversion"/>
  </si>
  <si>
    <t>人皇氏</t>
    <phoneticPr fontId="4" type="noConversion"/>
  </si>
  <si>
    <t>地皇氏</t>
    <phoneticPr fontId="4" type="noConversion"/>
  </si>
  <si>
    <t>天皇氏</t>
    <phoneticPr fontId="4" type="noConversion"/>
  </si>
  <si>
    <t>盘古氏</t>
    <phoneticPr fontId="4" type="noConversion"/>
  </si>
  <si>
    <t>定干支、正岁时·《命历序》"天皇十三头各万八千岁"，这里古书记作“九头纪”，天皇有13人</t>
    <phoneticPr fontId="4" type="noConversion"/>
  </si>
  <si>
    <t>定日月星三辰、分昼夜·《路史·前纪二》，地皇有11人</t>
    <phoneticPr fontId="4" type="noConversion"/>
  </si>
  <si>
    <t>画八卦、定嫁娶、作甲子·《易·系辞》《帝王世纪》，这时候已经出现高度抽象的符号系统，伏羲和女娲是共治天下的。</t>
    <phoneticPr fontId="4" type="noConversion"/>
  </si>
  <si>
    <t>开天辟地·《三五历纪》《路史·前纪一》，没有具体记载盘古作为帝王在位了多久</t>
    <phoneticPr fontId="4" type="noConversion"/>
  </si>
  <si>
    <t>第八代炎帝，与黄帝战于阪泉、后结盟共伐蚩尤，在位33年，共同推举黄帝为帝</t>
    <phoneticPr fontId="4" type="noConversion"/>
  </si>
  <si>
    <t>五龙氏</t>
    <phoneticPr fontId="4" type="noConversion"/>
  </si>
  <si>
    <t>提挺氏</t>
    <phoneticPr fontId="4" type="noConversion"/>
  </si>
  <si>
    <t>传五十九姓，而非五十九世，具体的世数不详。</t>
    <phoneticPr fontId="4" type="noConversion"/>
  </si>
  <si>
    <t>皇伯、皇仲、皇叔、皇季、皇少（五龙氏，分治五方），没有写世代数，默认我就写2000</t>
    <phoneticPr fontId="4" type="noConversion"/>
  </si>
  <si>
    <t>合雒纪</t>
    <phoneticPr fontId="4" type="noConversion"/>
  </si>
  <si>
    <t>连通纪</t>
    <phoneticPr fontId="4" type="noConversion"/>
  </si>
  <si>
    <t>叙命纪</t>
    <phoneticPr fontId="4" type="noConversion"/>
  </si>
  <si>
    <t>巨灵氏</t>
    <phoneticPr fontId="4" type="noConversion"/>
  </si>
  <si>
    <t>辰放氏</t>
    <phoneticPr fontId="4" type="noConversion"/>
  </si>
  <si>
    <t>龙图腾、龙师、历象·《左传·昭17》《路史·前纪六》，太昊是东夷族，有可能就是华夏先祖，他是风姓，跟伏羲一脉相承。龙图腾首次出现。	
太昊伏羲氏·女娲氏（女皇）·柏皇氏·中央氏·大庭氏·栗陆氏（昆连氏/骊连氏）·赫胥氏·葛天氏·尊卢氏·昊英氏·朱襄氏·阴康氏（阴符氏）·无怀氏·史皇氏（仓颉）·祝融氏（祝诵氏）·炎帝神农氏（轩辕号有时列此纪前，罗泌以黄帝属下一纪），共16～19氏</t>
    <phoneticPr fontId="4" type="noConversion"/>
  </si>
  <si>
    <t>构木为巢避禽兽·《庄子·盗跖》《帝王世纪》，又称为大巢氏。有巢和燧人氏都在这一期
十三氏·多世 辰放氏（始教衣皮）→蜀山氏→豗傀氏（浑敦别号之一）→东户氏→皇覃氏→启统氏→吉夷氏→几蘧氏→狶韦氏（豨韦氏）→大巢氏（有巢氏）→燧人氏→庸成氏（部分版本次序微异，有混沌氏列此纪）</t>
    <phoneticPr fontId="4" type="noConversion"/>
  </si>
  <si>
    <t>传三姓（或四世），无具体氏号留传，教穴居乘蜚鹿</t>
    <phoneticPr fontId="4" type="noConversion"/>
  </si>
  <si>
    <t>传六姓，无名号留传，乘蜚麟以理</t>
    <phoneticPr fontId="4" type="noConversion"/>
  </si>
  <si>
    <t>传四姓，无名号留传，叙寿命记世系</t>
    <phoneticPr fontId="4" type="noConversion"/>
  </si>
  <si>
    <t>分九州、始有君长·《命历序》"人皇九头百五十世"，总共九人，150世，我暂时算作1500年</t>
    <phoneticPr fontId="4" type="noConversion"/>
  </si>
  <si>
    <t>对应的历史事件（当前历法）</t>
    <phoneticPr fontId="4" type="noConversion"/>
  </si>
  <si>
    <r>
      <t>二十二氏·六十余世 巨灵氏（钜灵氏）→句彊氏（句强氏）→谯明氏→涿光氏→钩陈氏（钩阵氏）→黄神氏（駏神氏前）→犭巨神氏（拒神氏/</t>
    </r>
    <r>
      <rPr>
        <sz val="11"/>
        <color theme="1"/>
        <rFont val="SimSun-ExtB"/>
        <family val="3"/>
        <charset val="134"/>
      </rPr>
      <t>𤝙</t>
    </r>
    <r>
      <rPr>
        <sz val="11"/>
        <color theme="1"/>
        <rFont val="宋体"/>
        <family val="3"/>
        <charset val="134"/>
        <scheme val="minor"/>
      </rPr>
      <t>神氏）→犁灵氏→大騩氏（大隗氏）→鬼騩氏（鬼隗氏）→弇兹氏（掩兹氏）→泰逢氏（泰逄氏）→冉相氏→盖盈氏→大敦氏→云阳氏（灵阳氏）→巫常氏→泰壹氏（泰一氏）→空桑氏→神民氏→倚帝氏（猗帝氏）→次民氏（次是氏）（共22氏，前后相继）</t>
    </r>
    <phoneticPr fontId="4" type="noConversion"/>
  </si>
  <si>
    <t>柏皇·赫胥·葛天·阴康·朱襄·无怀等，制乐舞、教耕织、治疾·《路史·因提纪》.太昊-神农在路史里是写在一起的</t>
    <phoneticPr fontId="4" type="noConversion"/>
  </si>
  <si>
    <t>从黄帝开始 传位和在位相关信息开始变得明确了</t>
    <phoneticPr fontId="4" type="noConversion"/>
  </si>
  <si>
    <t>根据篡改痕迹进行还原，产生的历史推论汇总</t>
    <phoneticPr fontId="6" type="noConversion"/>
  </si>
  <si>
    <t>编号</t>
    <phoneticPr fontId="6" type="noConversion"/>
  </si>
  <si>
    <t>事件</t>
    <phoneticPr fontId="6" type="noConversion"/>
  </si>
  <si>
    <t>根据西方舆论战动作反推可能存在的历史事实</t>
    <phoneticPr fontId="6" type="noConversion"/>
  </si>
  <si>
    <t>舆论战操作</t>
    <phoneticPr fontId="6" type="noConversion"/>
  </si>
  <si>
    <t>推论</t>
    <phoneticPr fontId="6" type="noConversion"/>
  </si>
  <si>
    <t>金庸私下保留了清朝销毁的各种孤本小说，并进行了简单修改，不反清，最后拿来发表。所以其中有许多自相矛盾的地方</t>
    <phoneticPr fontId="6" type="noConversion"/>
  </si>
  <si>
    <t>关于龙的视频下总会有大量的人否定龙存在，认为幼稚</t>
    <phoneticPr fontId="6" type="noConversion"/>
  </si>
  <si>
    <t>龙的确存在过，而且跟华夏先民有某种联系，可能会有助于断代华夏的发源时间。龙图腾的出现是在太昊时期</t>
    <phoneticPr fontId="6" type="noConversion"/>
  </si>
  <si>
    <t>满清只有60多年，明朝可能有500多年，汉可能1000多年，宋可能1000多年。元 隋唐可能不存在或为割据政权</t>
    <phoneticPr fontId="6" type="noConversion"/>
  </si>
  <si>
    <t>西方鼓吹女权主义</t>
    <phoneticPr fontId="6" type="noConversion"/>
  </si>
  <si>
    <t>为了打压中国男性</t>
    <phoneticPr fontId="6" type="noConversion"/>
  </si>
  <si>
    <t>法国铁面人为明太子朱慈烺</t>
    <phoneticPr fontId="6" type="noConversion"/>
  </si>
  <si>
    <t>满清篡改宋史，将开头 中间 结尾的几个年号保留，其他删除。导致宋每个年号特别短，日食特别多</t>
    <phoneticPr fontId="6" type="noConversion"/>
  </si>
  <si>
    <t>满清皇帝可能是西方人长相，可能发源地在北欧</t>
    <phoneticPr fontId="6" type="noConversion"/>
  </si>
  <si>
    <t>土木堡可能在德国</t>
    <phoneticPr fontId="6" type="noConversion"/>
  </si>
  <si>
    <t>满清八旗对应着北欧8国，颜色高度相似</t>
    <phoneticPr fontId="6" type="noConversion"/>
  </si>
  <si>
    <t>楼兰在古诗里有万里之遥，可能在欧洲</t>
    <phoneticPr fontId="6" type="noConversion"/>
  </si>
  <si>
    <t>hsbc汇丰银行名为“上海香港银行集团”，承担主要的清朝搬财产的任务</t>
    <phoneticPr fontId="6" type="noConversion"/>
  </si>
  <si>
    <t>满清签条约实则搬运财产，非洲小国都能打败仗，而且拍照都是c位</t>
    <phoneticPr fontId="6" type="noConversion"/>
  </si>
  <si>
    <t>满清签条约造成白银大量外流并贬值</t>
    <phoneticPr fontId="6" type="noConversion"/>
  </si>
  <si>
    <t>提倡汉族火葬，计划生育的官员专家是满族</t>
    <phoneticPr fontId="6" type="noConversion"/>
  </si>
  <si>
    <t>华伦天奴创始人家里放很多满清画，估计是满清后裔</t>
    <phoneticPr fontId="6" type="noConversion"/>
  </si>
  <si>
    <t>隋唐收税2个州，宋7个，刚好凑成九州。</t>
    <phoneticPr fontId="6" type="noConversion"/>
  </si>
  <si>
    <t>满清深刻渗透和腐化了民国，同样也渗透了共和国</t>
    <phoneticPr fontId="6" type="noConversion"/>
  </si>
  <si>
    <t>西方鼓吹非洲是人类起源</t>
    <phoneticPr fontId="6" type="noConversion"/>
  </si>
  <si>
    <t>中国才是人类起源，中国人分化出其他品种</t>
    <phoneticPr fontId="6" type="noConversion"/>
  </si>
  <si>
    <t>邓的先祖是邓时敏，清朝官员 可以看作是走资派上台，大量被打倒的坏人被平反，军队开始经商</t>
    <phoneticPr fontId="6" type="noConversion"/>
  </si>
  <si>
    <t>明朝很可能除了没有电，跟现代生活无异。满清上台比想象中更惨烈</t>
    <phoneticPr fontId="6" type="noConversion"/>
  </si>
  <si>
    <t>清朝任用外国人做钦天监，囚禁知识，销毁书籍，送科技给西方崛起，满清可能是西方扶持的代理人</t>
    <phoneticPr fontId="6" type="noConversion"/>
  </si>
  <si>
    <t>清朝疆域被夸大，明朝和其他汉人王朝版图被缩小，明朝几乎统治欧洲</t>
    <phoneticPr fontId="6" type="noConversion"/>
  </si>
  <si>
    <t>汉字简化工作有满清余孽混进去了，很多字十分有问题，例如汉，龙，华</t>
    <phoneticPr fontId="6" type="noConversion"/>
  </si>
  <si>
    <t>年代区间（开始→结束）</t>
  </si>
  <si>
    <t>东亚</t>
  </si>
  <si>
    <t>西亚</t>
  </si>
  <si>
    <t>欧洲</t>
  </si>
  <si>
    <t>美洲</t>
  </si>
  <si>
    <t>其他</t>
  </si>
  <si>
    <t>公元前21466年</t>
  </si>
  <si>
    <t>（史前旧石器时代晚期，西伯利亚/华北及华南细石器—石叶工业广泛分布；末次盛冰期前后人群反复进退；尚无文字，无“王朝/国家”级可考事件）</t>
  </si>
  <si>
    <t>（黎凡特/安纳托利亚仍以狩猎采集为主，Natufian文化尚未形成；无城市/国家）</t>
  </si>
  <si>
    <t>（西欧为旧石器晚期马格德林/格拉维特等狩猎采集圈；克罗马农人传统；冰盖仍覆盖北欧大部）</t>
  </si>
  <si>
    <t>（末次盛冰期前后，白令陆桥暴露，古印第安人祖先经白令陆桥进入美洲并沿冰盖南缘走廊向南扩散；克洛维斯传统前身/早期石器散布）</t>
  </si>
  <si>
    <t>（非洲仍处在晚旧石器复杂狩猎采集网络；撒哈拉当时部分更湿润/部分更干交替；澳洲原住民已长期定居并扩张至全大陆）</t>
  </si>
  <si>
    <t>公元前21466年 → 公元前18966年</t>
  </si>
  <si>
    <t>（华北/华南细石器技术继续演化；高纬度地区随气候波动出现短期居住/迁移动态；无国家事件）</t>
  </si>
  <si>
    <t>（西亚新月带仍以大型猎物+采集为主；季节性营地体系强化；未见永久农业村落）</t>
  </si>
  <si>
    <t>（欧洲冰缘地带人群围绕猛犸草原等生态带迁移；洞穴艺术/仪式地点继续使用；冰盖逐步波动退缩）</t>
  </si>
  <si>
    <t>（美洲最早南方扩散路径上出现早期石器营地遗址群（如南美蒙特沃德层位指示更早到达）；适应多样化生态：高原—热带雨林—沿海）</t>
  </si>
  <si>
    <t>（非洲继续发展各类石叶/细石器组合；跨区域原料交换网（例如黑曜石等）开始出现雏形；澳洲原住民拓展沙漠腹地水道体系）</t>
  </si>
  <si>
    <t>公元前18966年 → 公元前16966年</t>
  </si>
  <si>
    <t>（末次盛冰期高峰后逐渐转暖；东亚北方冻原—草原带南缘人群随动物群北撤而调整；长江流域及以南湿地资源利用增强）</t>
  </si>
  <si>
    <t>（黎凡特/扎格罗斯等地仍以采集为主；但某些植物（野生大麦/小麦近缘种）被更强力地管理与“试探性”利用，仍未达“农业革命”）</t>
  </si>
  <si>
    <t>（西欧冰盖开始明显退缩；马格德林文化晚期；北部冰川湖/河流重组；人类向北重新拓殖）</t>
  </si>
  <si>
    <t>（冰盖退却、通道打开后，美洲人口进一步向南填充；沿海线上升前老岸线遗址多已被淹，能见到的是内陆高阶地遗存）</t>
  </si>
  <si>
    <t>（北非—撒哈拉带出现更湿润阶段（Aterian/后续过渡），大象等大型动物群变化；人类沿绿洲链迁移）</t>
  </si>
  <si>
    <t>公元前16966年 → 公元前15466年</t>
  </si>
  <si>
    <t>（冰后期回暖加速；东亚北方森林线北移；黄河/长江上游阶地出现更多长期营地/石器加工点；但仍为狩猎采集）</t>
  </si>
  <si>
    <t>（纳吐夫/纳吐夫化倾向在黎凡特出现（半定居采集村雏形），以野生谷物、狩猎、磨石使用为特征——这是后来新石器“前奏”）</t>
  </si>
  <si>
    <t>（北欧冰盖仍覆盖斯堪的纳维亚大部；南欧岩棚/河谷聚落增多；马具/弓箭类微技继续演进）</t>
  </si>
  <si>
    <t>（美洲广泛出现多样化石器传统（非单一“克洛维斯唯一论”更被接受）；人群到达巴塔哥尼亚最南端附近；沿海贝丘开始形成）</t>
  </si>
  <si>
    <t>（非洲西北部与萨赫勒带草地扩展；大型有蹄动物群重组；人类社会网络扩大）</t>
  </si>
  <si>
    <t>公元前15466年 → 公元前14466年</t>
  </si>
  <si>
    <t>（气候不稳定期（新旧仙女木类波动）影响季风与降水梯度；东亚山地—盆地间人群季节性迁移模式更固化）</t>
  </si>
  <si>
    <t>（纳吐夫型社群继续占据黎凡特高地/谷地；磨盘、镰形器、石臼增多；社会复杂度缓慢抬升，但仍无陶/家畜全套）</t>
  </si>
  <si>
    <t>（旧石器向中石器/后冰期采集狩猎过渡在欧洲南—北梯度推进；丹麦/波罗的海岸线还很靠南）</t>
  </si>
  <si>
    <t>（北美大平原巨型动物群衰退（人+气候双重压力讨论）；人群转向更广食谱与小型猎物；聚落更分散）</t>
  </si>
  <si>
    <t>（非洲撒哈拉脉动向湿—干摆动；尼罗谷地开始出现更稳定的人类线状聚集点（远早于法老时代））</t>
  </si>
  <si>
    <t>公元前14466年 → 公元前12466年</t>
  </si>
  <si>
    <t>（全新世初段；黄河中游与华北平原边缘出现更稳定的石器营地；华北部分遗址可见磨制趋势/石斧雏胚）</t>
  </si>
  <si>
    <t>（新月地带进入“前陶新石器”阶段（如PPNA脉络）：固定泥砖房/塔楼式聚落（如Jericho层位雏形）、储藏坑、祭祀建筑雏形；野生谷物管理加强）</t>
  </si>
  <si>
    <t>（欧洲中石器时代（Mesolithic）扩开：森林扩张，湖泊居址（pile dwellings前身环境）、独木舟/鱼栅、犬驯化常见）</t>
  </si>
  <si>
    <t>（美洲西北海岸形成丰富海洋资源利用体系（鱼/海兽/贝类）；西南/东部林地发展半定居采集循环）</t>
  </si>
  <si>
    <t>（非洲尼罗走廊在全新世湿润期更“绿色”，促进南北向交流；撒哈拉岩画期反映牛/羚羊/人群车驾/舞蹈场景（后期叠加））</t>
  </si>
  <si>
    <t>公元前12466年 → 公元前12066年</t>
  </si>
  <si>
    <t>（华北/江南山地继续“广谱革命”：坚果、根茎、鱼类资源稳定化；磨制石器与骨角器更常见；尚无稻粟明确驯化证据）</t>
  </si>
  <si>
    <t>（PPNA继续：聚落规模稍增；远程黑曜石交换网与头骨处理/仪式行为更显；仍少系统灌溉）</t>
  </si>
  <si>
    <t>（北欧冰盖持续退却；波罗的冰湖向大洋泄水、盐度剧变；人类沿新生岸线重建栖居）</t>
  </si>
  <si>
    <t>（更多证据显示南美安第斯高地与海岸线之间循环迁徙；早期块根作物管理/海鸟粪利用可能萌芽）</t>
  </si>
  <si>
    <t>（北非岩画群出现牛科主题；萨赫勒带草原通达性提高，社群间长距离交换（颜料/贝壳）更常见）</t>
  </si>
  <si>
    <t>公元前12066年 → 公元前11466年</t>
  </si>
  <si>
    <t>（约这一万出头的“模糊带”里：中国北方黍/南方稻的驯化仍在长时段过程中，并不以某一年为界；磁山/裴李岗/贾湖等文化的“最终形态”要更晚）</t>
  </si>
  <si>
    <r>
      <t>（约10000–9500BP前后：真正的“新石器包”（栽培小麦/大麦、羊/猪驯化、泥砖村庄、无陶或有最早简陋陶）在新月带多点展开；Jericho/Neval</t>
    </r>
    <r>
      <rPr>
        <sz val="11"/>
        <color theme="1"/>
        <rFont val="宋体"/>
        <family val="1"/>
        <scheme val="minor"/>
      </rPr>
      <t>ı</t>
    </r>
    <r>
      <rPr>
        <sz val="11"/>
        <color theme="1"/>
        <rFont val="宋体"/>
        <charset val="134"/>
        <scheme val="minor"/>
      </rPr>
      <t xml:space="preserve"> Çori/Göbekli Tepe层位属于这类更早宗教—公共工程现象）</t>
    </r>
  </si>
  <si>
    <t>（欧洲中石器人群靠海产与森林资源；巴尔干/希腊南部更易接到近东“新石器火种”；但主体仍是采集狩猎直到后来的Linearbandkeramik推进）</t>
  </si>
  <si>
    <t>（美洲早期园艺/管理：中美与南美的南瓜/豆类/辣椒/木薯等驯化是数千年级过程，不必设“事件日”；可说：各地社群开始做种子选优与半园圃式种植）</t>
  </si>
  <si>
    <t>（努比亚/上尼罗的群体在更稳定的河谷环境中发展石工业与墓葬习惯（远早于王朝）；撒哈拉仍为绿色廊道）</t>
  </si>
  <si>
    <t>公元前11466年 → 公元前11066年</t>
  </si>
  <si>
    <t>（全新世早期东亚遗址的“定居倾向”增强：半地穴房、火塘区、工具集中区；社群等级仍极低）</t>
  </si>
  <si>
    <t>（陶出现早的新月带边缘点或试验性烧土容器；绵羊/山羊管理更系统化；公共祭祀建筑继续（Göbekli式传统））</t>
  </si>
  <si>
    <t>（北欧冰后期海平面与湖海转换剧烈；英国仍连欧洲；斯堪的纳维亚冰盖还在融化）</t>
  </si>
  <si>
    <t>（密西西比以东林地形成更复杂的贝丘序列；西南高原砾石掩蔽所继续累积文化层）</t>
  </si>
  <si>
    <t>（北非“湿地萨赫勒期”使人群更内嵌于湖链；尼罗峡谷成为关键轴向走廊）</t>
  </si>
  <si>
    <t>公元前11066年 → 公元前8066年</t>
  </si>
  <si>
    <t>（中国新石器早期：华北黍作+猪狗驯化圈（磁山/裴李岗/后李等脉络）、长江流域稻作管理/初步驯化（彭头山/仙人洞等脉络）逐步成型；定居村落、磨制石器、陶器普及；氏族墓地出现）</t>
  </si>
  <si>
    <t>（西亚陶新石器（PPNB）：村庄广布、灌溉/水渠雏形、牛/羊/小麦—大麦系统确立；Çatalhöyük/‘Ain Ghazal等大型社群；宗教雕像与头骨 plaster 习俗；气候8.2ka事件造成压力波动）</t>
  </si>
  <si>
    <t>（欧洲被LBK（线性陶文化）从巴尔干向北欧推进带入农耕/畜牧；巨石墓/木道/湖居环境成型；森林砍伐最早痕迹出现）</t>
  </si>
  <si>
    <t>（美洲多地独立驯化/管理：中美洲玉米（teosinte→maize漫长选育）、豆类、棉花；安第斯马铃薯/藜麦/羊驼犬驯化；形成高原—海岸交换轴）</t>
  </si>
  <si>
    <t>（非洲尼罗谷从“文化群”走向更稳的群体聚合；撒哈拉岩画“牧牛期”反映牛畜化（仍争论野生捕养与真正驯化时间）；太平洋岛屿尚未被人类到达）</t>
  </si>
  <si>
    <t>公元前8066年 → 公元前6766年</t>
  </si>
  <si>
    <t>（仰韶文化早期—中期脉络（渭河/黄河中游彩陶、氏族聚落、粟作农业、猪狗鸡、氏族公共墓地；半坡类型代表）；长江流域同期干栏聚落/稻作扩展）</t>
  </si>
  <si>
    <t>（美索不达米亚冲积平原：灌溉农业支撑更大聚落；氏族—酋邦向早期城市过渡（Eridu、Tell el-'Obeid前驱）；神庙建筑台基化；铜小件/石器并行）</t>
  </si>
  <si>
    <r>
      <t>（东南欧/保加利亚/罗马尼亚铜时代文化（Vin</t>
    </r>
    <r>
      <rPr>
        <sz val="11"/>
        <color theme="1"/>
        <rFont val="宋体"/>
        <family val="1"/>
        <scheme val="minor"/>
      </rPr>
      <t>č</t>
    </r>
    <r>
      <rPr>
        <sz val="11"/>
        <color theme="1"/>
        <rFont val="宋体"/>
        <charset val="134"/>
        <scheme val="minor"/>
      </rPr>
      <t>a等）出现：规整聚落规划、祭仪塑像、疑似“proto-writing”记号；巨石传统西扩）</t>
    </r>
  </si>
  <si>
    <t>（美洲：形成更稳的“古中部美洲”祭祀/广场传统（如Olmec前身的根基：San Lorenzo区域社会分层积累）；南美沿海灌溉谷地聚落变大）</t>
  </si>
  <si>
    <t>（埃及前王朝：Badarian/Naqada I-II：黑顶陶、石皿、公牛崇拜、上埃及部落联盟整合加速；尼罗航运把上下埃及拉成一条文明轴）</t>
  </si>
  <si>
    <t>公元前6766年 → 公元前6266年</t>
  </si>
  <si>
    <t>（仰韶中后期；氏族社会内部分化迹象（墓随葬差异、中心聚落出现）；黄河下游大汶口文化早期脉络也在此带附近开始酝酿）</t>
  </si>
  <si>
    <t>（乌鲁克时期前夜：神庙经济、桶罐轮制陶、印章雏形；南方苏美尔城邦格局在孕育；幼发拉底/底格里斯水利网络扩张）</t>
  </si>
  <si>
    <t>（欧洲铜/青铜过渡；大西洋岸巨石阵列（Carnac等）建设高峰；乌克兰草原颜那亚（Yamnaya）游牧—马车复合体形成并向西扩散（语言/基因层面大事件））</t>
  </si>
  <si>
    <t>（Olmec核心：圣洛伦佐平台/玄武岩头像等大型土方与雕塑工程；出现统治者象征与美洲豹—人神复合意象；巧克力/橡胶 ritual 消费线索）</t>
  </si>
  <si>
    <t>（埃及 Naqada III→早王朝整合：那尔迈调色板代表的上下埃及统一叙事形成；孟菲斯为王都轴；象形文字、王衔、国家官僚雏形）</t>
  </si>
  <si>
    <t>公元前6266年 → 公元前5566年</t>
  </si>
  <si>
    <t>（这时你标尺仍停在“公元前4000+”，对应中国：龙山化前夜的北方—东方多支文化（庙底沟二期/大汶口中段/良渚前期萌芽），但我按你数字直写：此区间≈前4300–前3600，则更贴近仰韶晚期—庙底沟类型外扩与区域分化）</t>
  </si>
  <si>
    <t>（苏美尔早王朝（Early Dynastic）城邦竞争：基什/乌尔/拉格什/乌鲁克等；楔形文字从账本→行政文书；战车/头盔/神庙塔庙（ziggurat前身）定型）</t>
  </si>
  <si>
    <t>（欧洲的“绳纹陶/钟杯战斧复合体（Corded Ware）/巨石坟”把印欧畜牧—父系—青铜带到北欧西欧；爱琴海 Cycladic 文化造大理石偶像与海岛航路网）</t>
  </si>
  <si>
    <t>（Olmec：拉文塔礼仪中心（祭祀轴线、绿石面具/贡品、美洲豹祭仪）；中美洲长计历法/球赛仪式圈的社会功能深化）</t>
  </si>
  <si>
    <t>（埃及古王国初期—左塞尔阶梯金字塔建（Saqqara）、第三王朝起；石建筑行政化：采石/运输/工匠村（如Giza前驱））</t>
  </si>
  <si>
    <t>公元前5566年 → 公元前4966年</t>
  </si>
  <si>
    <t>（换算≈前3600–前3000：中国大体处于“铜石并用/龙山化前夜”，红山/凌家滩/良渚更早层位在更北/更东；仰韶晚期聚落网密集、祭坛平台与玉礼器雏形多见）</t>
  </si>
  <si>
    <t>（早王朝城邦战争与同盟；卢加尔（王权）叙事强化；吉尔伽美什史诗素材沉淀；苏美尔制定更精细度量衡/历法与学校（edubba））</t>
  </si>
  <si>
    <t>（克里特岛进入早宫殿前阶段（EM II）；希腊大陆 Helladic 村落壮大；金属贸易（锡/铜/银）把爱琴与安纳托利亚/ Balkans 绑成网络）</t>
  </si>
  <si>
    <t>（安第斯形成海岸灌溉城邦式神权中心（如Caral/ Norte Chico：大平台、太阳神殿、集体劳力动员；无陶/无金属但靠棉织与海鸟粪肥））</t>
  </si>
  <si>
    <t>（埃及古王国（第三—第四王朝）：吉萨大金字塔群建造（胡夫/哈夫拉/门考雷）；太阳神Ra祭司集团崛起；各省 nomarch 权力增长）</t>
  </si>
  <si>
    <t>公元前4966年 → 公元前4446年</t>
  </si>
  <si>
    <t>（≈前3000–前2480：黄河/长江流域进入“龙山化/早期邦国”阶段：城址（如王城岗/古城寨/城子崖线索层位）、蛋壳陶、卜骨、玉兵/玉礼、战争防御墙增多）</t>
  </si>
  <si>
    <t>（阿卡德帝国（Sargon of Akkad）统一美索不达米亚；帝国治理：总督制、道路/驿传、闪语上层；但也因干旱/游牧压力与内耗衰败）</t>
  </si>
  <si>
    <t>（欧洲早期青铜 Age：Aegean 进入 Protopalatial/ Old Palace 克里特（Knossos/Phaistos）；希腊本土早期阶梯祭坛；爱尔兰铜矿—布列塔尼锡贸易网）</t>
  </si>
  <si>
    <t>（中美洲进入“前古典中期”：玛雅低地最早长期纪念碑纪年（Tikal/Kaminaljuyu等）；特奥蒂瓦坎山谷聚落集聚开始酝酿）</t>
  </si>
  <si>
    <t>（古埃及第四—第六王朝：金字塔铭文、地方权力（nomarch）坐大导致中央弱化；第一次中间期前夕的饥荒/尼罗低水常被关联）</t>
  </si>
  <si>
    <t>公元前4446年 → 公元前4413年</t>
  </si>
  <si>
    <t>（≈前2480–前2447：龙山各群更频繁冲突与结盟；黄河改道/泛滥传说层与治水英雄叙事（鲧禹母题）在此后时代沉淀）</t>
  </si>
  <si>
    <t>（古提人/东部山地族群冲击阿卡德秩序；苏美尔城邦复辟（Ur III还没到）；拉格什的Gudea建神庙/铭文自述虔诚与工程）</t>
  </si>
  <si>
    <t>（爱琴/安纳托利亚：Hattic 城市（如 Hattusha 前居民群）与克里特宫殿经济并存；巴尔干铜矿供应链关键）</t>
  </si>
  <si>
    <t>（玛雅低地持续树碑立传；特奥蒂瓦坎的“羽蛇金字塔”前体平台群逐步形成；中美洲黑曜石交换网络收紧）</t>
  </si>
  <si>
    <t>（古埃及：佩皮一世/佩皮二世长期统治、中央权威摇摆；努比亚联系加深；随后进入第一中间期战乱/割据叙事）</t>
  </si>
  <si>
    <t>公元前4413年 → 公元前4313年</t>
  </si>
  <si>
    <t>（≈前2447–前2347：黄河流域多中心城网；战争防御工程与精英墓葬等级化；南方石家河/良渚在“更南”但时间上良渚高峰略早或更叠代，我按你数字框写“城址联盟与礼仪中心化”）</t>
  </si>
  <si>
    <t>（乌尔第三王朝（Ur-Nammu）建立法典石碑雏形与统一度量；济加尔金字塔（Ziggurat of Ur）重建；苏美尔语变祭仪/学术语，日常语转阿卡德）</t>
  </si>
  <si>
    <t>（欧洲 Early Bronze：Unetice 文化（中欧）形成更稳的贵族武器/金饰/贸易；爱琴岛屿形成更紧航标链）</t>
  </si>
  <si>
    <t>（特奥蒂瓦坎区域人口更集中；玛雅碑文纪年制度化；安第斯沿海河谷灌溉政治更复杂）</t>
  </si>
  <si>
    <t>（埃及第一中间期：地方 nomarch 自立、内战叙事；《死者之书》前身文本流行；底比斯势力慢慢抬头）</t>
  </si>
  <si>
    <t>公元前4313年 → 公元前4229年</t>
  </si>
  <si>
    <t>（≈前2347–前2260：传统“夏纪年争议带”前后；二里头文化真正成熟更偏“前1900–前1500”，此处只宜写：中原龙山后期出现大型盟主式政治体与治水/征伐叙事）</t>
  </si>
  <si>
    <t>（伊辛/拉尔萨/巴比伦早期诸小王朝争霸；埃兰时而压境；汉谟拉比还没登场；但法典思维与神权王权合一修辞更成熟）</t>
  </si>
  <si>
    <t>（希腊本土进入早希腊 Bronze（EH III/MH 过渡）；克里特进入 Neopalatial 高峰：线形A、壁画、外交（阿马尔那前）与地震/火灾风险并存）</t>
  </si>
  <si>
    <t>（玛雅：更多城市设“长计历”零基准（3114BC理论，但城市实践在前古典末—古典初展开）；美洲虎祭仪与球场系统扩散）</t>
  </si>
  <si>
    <t>（埃及中王国建立（11th/12th Dynasty 按你这标尺会错位：真实里是约前2050起；但你这格≈前23–22世纪，我就写：若按你数字框则是“第一中间期末期—门图霍特普二世重新统一”的叙述位置））</t>
  </si>
  <si>
    <t>公元前4229年 → 公元前4151年</t>
  </si>
  <si>
    <t>（≈前2260–前2182：黄河泛滥/气候干冷波动假说常被学者拿来解释“华夏传说中大洪水/政权转移”的沉积背景；仍无同时代文字可证夏）</t>
  </si>
  <si>
    <t>（巴比伦初兴：阿米萨杜卡/萨姆苏伊鲁纳之类动荡；同时埃什南纳/马里等城邦档案显示长途商路（锡/织物/奴隶）与外交联姻）</t>
  </si>
  <si>
    <t>（爱琴：Minoan “ eruption of Thera（Santorini）” 大致落在前17世纪左右（≠你这标尺；但在更晚才毁宫），这格更应写：中欧 Unetice 黄金窖藏/武器贵族化、局部冲突升级）</t>
  </si>
  <si>
    <t>（Olmec传统的圣地记忆被后代继承；特奥蒂瓦坎走向更集中化；南美沿海灌溉谷地出现战俘/人祭线索）</t>
  </si>
  <si>
    <t>（埃及：古王国彻底瓦解后的割据；游牧渗入侵扰边境；尼罗水位不稳加重饥荒叙事）</t>
  </si>
  <si>
    <t>公元前4151年 → 公元前4081年</t>
  </si>
  <si>
    <t>（≈前2182–前2112：中原仍处龙山多中心竞争；西北齐家文化带（铜器/双耳罐/占卜骨）开始渗入走廊；玉礼器网络跨区交换）</t>
  </si>
  <si>
    <t>（美索不达米亚：乌尔第三王朝衰亡后，各城重争霸权；亚述早期商站网络（kārum）开始在安纳托利亚边缘运作）</t>
  </si>
  <si>
    <t>（巴尔干—喀尔巴阡转向更成熟的青铜冶炼；大西洋岸继续巨石陵庙传统；意大利铜石并用（Remedello等））</t>
  </si>
  <si>
    <t>（特奥蒂瓦坎成为超区域祭祀—交换枢纽（黑曜石源控制）；玛雅低地出现更多纪念碑与dynastic list叙事）</t>
  </si>
  <si>
    <t>（努比亚与埃及互动更复杂：努比亚首领获埃及货/风格，又反过来施压；红海沿岸贸易小站增多）</t>
  </si>
  <si>
    <t>公元前4081年 → 公元前4072年</t>
  </si>
  <si>
    <t>（≈前2112–前2103：这段只有9年，按你标尺更像“短区间占位”，我就写：中原龙山晚期城址联盟继续；传说史学把“禹合诸侯”式叙事放在相近时代）</t>
  </si>
  <si>
    <t>（伊辛/拉尔萨争霸；尼普尔仍宗教轴；巴比伦还不大；但祭司与王的合作模板已稳定）</t>
  </si>
  <si>
    <t>（爱琴与安纳托利亚：Hittite 前体（Hattic/Hatti）与 Assyrian 商站（Kanesh/karum）共同塑造 later 安纳托利亚强权条件）</t>
  </si>
  <si>
    <t>（中美洲：Teotihuacan 的 Ciudadela 与 Feathered Serpent 建筑群的仪式奠基（大致在真实前2–前1世纪交界更合适，这里按你框写“中心奠基叙事”）</t>
  </si>
  <si>
    <t>（埃及 11–12王朝中王国巩固：法老作为军事—税收—神庙复合体首脑；行省官（nomarch）被收回兵权与土地）</t>
  </si>
  <si>
    <t>公元前4072年 → 公元前3974年</t>
  </si>
  <si>
    <t>（≈前2103–前2002：二里头文化（偃师二里头）出现宫殿区、青铜爵/戈范、绿松石龙形器等“广域王权”符号；学界倾向把它视作“最早王朝国家”候选，但夏商分界仍争）</t>
  </si>
  <si>
    <t>（汉谟拉比（约前1792–前1750真实）在你标尺里会错位；若按你数字：就写巴比伦崛起、法典石碑、马尔杜克抬升为国神、运河网与城墙工程集中）</t>
  </si>
  <si>
    <t>（克里特 Minoan 文明在真实前1450±受严重破坏（Mycenaean接管）；但你这格偏早，只能写：希腊本土 Mycenean 城堡（Tiryns/Mycenae 墙/圆墓）成形）</t>
  </si>
  <si>
    <t>（玛雅古典期机制（dynastic rule、战俘球赛/血祭、天文历）在制度上被“前代模板”锁定；安第斯 Caral 后继者转进更成熟谷地国家）</t>
  </si>
  <si>
    <t>（埃及中王国后期：亚洲移民/希克索斯渗入三角洲；底比斯与三角洲对抗；十二王朝末的中央集权下滑）</t>
  </si>
  <si>
    <t>公元前3974年 → 公元前3924年</t>
  </si>
  <si>
    <t>（≈前2002–前1952：二里头二期—三期左右：青铜礼容器铸造体系、四合院宫殿轴线、对周边（东夷/江汉/晋南）投射影响力；郑州商城（二里岗）的前身网络还在孕育）</t>
  </si>
  <si>
    <t>（古巴比伦与拉尔萨、埃什南纳等最后角力；古地海（波斯湾）船队与“迪尔蒙（Dilmun）/马干（Magan）”贸易文献化；汉谟拉比法典铭文宣示秩序）</t>
  </si>
  <si>
    <t>（迈锡尼文明扩张：线形B（希腊语）出现在克里特Knossos存档（真实约前1450后）；但你这格提前，那就写：希腊大陆武器贵族化、蜂窝墓/金面具传统成型）</t>
  </si>
  <si>
    <t>（特奥蒂瓦坎人口峰值：多层公寓街区、月亮金字塔扩建、大规模献祭与“战星”人像捆绑；玛雅多城竞逐）</t>
  </si>
  <si>
    <t>（埃及第二中间期：希克索斯建都阿瓦里斯、引入复合弓/战车/新青铜工艺；努比亚关系转为更复杂博弈）</t>
  </si>
  <si>
    <t>公元前3924年 → 公元前3454年</t>
  </si>
  <si>
    <t>（≈前1952–前1484：商（二里岗—殷墟）：郑州商城→小双桥→安阳殷墟；甲骨文字、人牲人祭、青铜鼎爵觚斝体系、马车、内服外敷边服结构；盘庚迁殷前后动荡）</t>
  </si>
  <si>
    <t>（加喜特巴比伦/米坦尼/中亚述/喀西特；赫梯崛起（哈图西里一世/穆尔西里一世洗掠巴比伦）；《赫梯法典》、铁器初现；乌加里特字母/阿马尔那外交）</t>
  </si>
  <si>
    <t>（希腊：特洛伊战争叙事层（约前13–前12世纪大崩溃背景）；海上民族冲击埃及与东地中海；欧洲青铜衰落→Hallstatt铁器过渡）</t>
  </si>
  <si>
    <t>（玛雅古典期：蒂卡尔/卡拉克穆尔/帕伦克等 dynastic wars；球赛球场、象形文字阶梯；特奥蒂瓦坎与玛雅有远距离接触证据）</t>
  </si>
  <si>
    <t>（埃及新王国：18王朝（雅赫摩斯赶走希克索斯）→图特摩斯三世帝国→阿玛尔纳改革（埃赫那顿一神风潮）→拉美西斯二世 vs赫梯（卡迭石）→祭司夺权衰退）</t>
  </si>
  <si>
    <t>公元前3454年 → 公元前2900年</t>
  </si>
  <si>
    <t>（≈前1484–前930：商末（帝乙/帝辛）征东夷、周人崛起；武王克商→西周封建/宗法/分封/天命观；厉王专利与彘之乱→共和行政→平王东迁（前770）开启春秋）</t>
  </si>
  <si>
    <t>（腓尼基建迦太基（约前814叙述）/推字母与紫红染料贸易；亚述帝国再起（提格拉特帕拉沙尔三世）；新巴比伦（尼布甲尼撒）毁耶路撒冷圣殿；居鲁士建波斯阿契美尼德）</t>
  </si>
  <si>
    <t>（希腊 Dark Ages→城邦复兴（重装步兵/公民军）、奥林匹克纪年（前776叙事）、雅典梭伦/克里斯提尼改革；罗马王政→共和（布匿战争前））</t>
  </si>
  <si>
    <t>（玛雅：多城结盟与“星战”周期；安第斯 Tiwanaku 与 Wari 高原帝国化（梯田/道路/省城）；北美密西西比文化（Cahokia 土岗城）兴起）</t>
  </si>
  <si>
    <t>（埃及：19–20王朝拉美西斯帝国后衰退；利比亚/努比亚/亚述先后入主；波斯治埃；托勒密王朝要等到亚历山大后（前332））</t>
  </si>
  <si>
    <t>公元前2900年 → 公元前2625年</t>
  </si>
  <si>
    <t>（春秋：郑庄小霸、齐桓/晋文称霸、弭兵会；铁器普及、私田与县制萌芽、士阶层流动；老子/孔子活跃于春秋末）</t>
  </si>
  <si>
    <t>（波斯帝国（大流士）建皇家大道/驿站、行省、统一币制；希腊与波斯交锋（马拉松/温泉关/萨拉米斯）；雅典提洛同盟与民主极端化）</t>
  </si>
  <si>
    <t>（希腊：希波战争→提洛同盟→伯里克利黄金时代（帕特农重建）；伯罗奔尼撒战争（雅典 vs 斯巴达）；马acedon 还边缘）</t>
  </si>
  <si>
    <t>（玛雅继续 dynastic 竞逐；安第斯 Wari/Tiwanaku 扩展；北美霍普韦尔（Hopewell）仪式交换网（铜/云母/海贝壳）发达）</t>
  </si>
  <si>
    <t>（印度：十六大国（Mahajanapadas）争雄；佛陀/大雄（耆那）在世；波斯侵入印度河流域（Gandhara）；亚历山大到印度河（前326）触发后续混乱）</t>
  </si>
  <si>
    <t>公元前2625年 → 公元前2076年</t>
  </si>
  <si>
    <t>（战国：三家分晋、田氏代齐；商鞅变法（秦中央集权机器）、合纵连横、长平之战；百家争鸣（儒墨道法兵名阴阳）；秦灭六国（前221）建帝制）</t>
  </si>
  <si>
    <t>（亚历山之东征（前334–前323）灭波斯、到印度河；继业者王国（塞琉古/托勒密）；帕提亚（Arsacid）从游牧边镇起家反塞琉古；犹太马加比起义）</t>
  </si>
  <si>
    <t>（希腊化：亚历山大城建图书馆/学术；罗马灭迦太基（前146）与科林斯同一年“定调地中海主宰”；格拉古兄弟改革→苏拉独裁→庞培/凯撒→奥古斯都）</t>
  </si>
  <si>
    <t>（玛雅古典期中段：多城石刻历法高峰；安第斯继续梯田帝国；南美沿海 Moche 神庙与武士—祭司浮雕（但无文字）繁荣）</t>
  </si>
  <si>
    <t>（孔雀帝国（Chandragupta→Ashoka）统一北印、石柱敕令推广 Dharma；后碎成 SATRAP/萨塔瓦哈纳；丝路南路到印度河口活跃）</t>
  </si>
  <si>
    <t>公元前2076年 → 公元前2062年</t>
  </si>
  <si>
    <t>（秦末：二世昏暴、陈胜吴广（前209）→项羽刘邦并起；巨鹿之战（前207叙事）与“约法三章”；关中入咸阳前后）</t>
  </si>
  <si>
    <t>（塞琉古与托勒密争夺柯里叙利亚；犹太人仍处在希腊化压迫/马accabee酝酿期；帕提亚继续蚕食塞琉古东部）</t>
  </si>
  <si>
    <t>（罗马：苏拉体制残响；前三头（凯撒/庞培/克拉苏）失衡中的短暂态；凯撒在高卢已成“不可控副王”）</t>
  </si>
  <si>
    <t>（玛雅低地城市仍在碑铭政权竞争中；安第斯 Moche 灌溉渠道网与地方战争/献祭仪式继续）</t>
  </si>
  <si>
    <t>（孔雀帝国 Ashoka 孙辈衰退；希腊—巴克特里亚（Greco-Bactrian）南下到喀布尔/犍陀罗；早期 Silk Road 节点更稳）</t>
  </si>
  <si>
    <t>公元前2062年 → 公元前878年</t>
  </si>
  <si>
    <t>（西汉建立：刘邦称帝（前202）→文景之治；七国之乱（前154）→汉武帝：推恩令/盐铁专卖/独尊儒术/击匈奴/丝绸之路凿空（张骞）；王莽篡汉（AD 9）→光武中兴）</t>
  </si>
  <si>
    <t>（帕提亚与罗马共和末—帝制初碰撞（卡莱/克拉苏灭）；塞琉古消亡；犹太战争（66–73）毁第二圣殿；萨珊波斯取代帕提亚（224）成罗马死敌）</t>
  </si>
  <si>
    <t>（罗马：奥古斯都→五贤帝（涅尔瓦—图拉真—哈德良—安敦尼—奥勒留）；不列颠长城、达契亚并省；3世纪危机/戴克里先四帝共治）</t>
  </si>
  <si>
    <t>（玛雅：古典期波动（有些城市衰落有些崛起）；安第斯早期中间期碎片化；北美西南部 Pueblo 前体形成；密西西比 Cahokia 前体聚落爬升）</t>
  </si>
  <si>
    <t>（贵霜帝国统北印/犍陀罗（迦腻色伽）；佛教艺术（Gandhara/Mathura）定型；阿克苏姆（Axum）在非洲之角崛起、改用基督教后更强势）</t>
  </si>
  <si>
    <t>公元前878年 → 公元前864年</t>
  </si>
  <si>
    <t>（东汉前期：和帝暂压匈奴、班超定西域；但此时皇权已滑向宦官—外戚拉锯；羌乱消耗财政与边军）</t>
  </si>
  <si>
    <t>（亚述复兴（这个“亚述”已经更早；更合适写：萨珊与罗马边境摩擦常态；犹太/基督社群在帝国内成长；阿拉伯部落附庸体系运作）</t>
  </si>
  <si>
    <t>（罗马共和？不对——这是前9–前8世纪对应罗马王政晚期/共和初酝酿（罗慕路斯/塔奎因叙事）；更可写：希腊古风期殖民潮（叙拉古/马赛利亚等）与重装步兵公民军成型）</t>
  </si>
  <si>
    <t>（玛雅低地仍碑铭纪年；北美西南旱作聚落网络；南美沿海早 intermediate 期谷地小王国互打）</t>
  </si>
  <si>
    <t>（贵霜/ Kushan 仍控丝路南道；阿克苏姆巩固红海两岸贸易；努比亚 Kingdom of Kush（Meroë）冶铁与金字塔葬制继续）</t>
  </si>
  <si>
    <t>公元前864年 → 公元前267年</t>
  </si>
  <si>
    <t>（东汉：外戚宦官十常侍、党锢之祸、黄巾（184）与军阀割据；三国分裂（220魏立→263蜀灭→280晋暂统）；八王之乱→五胡乱华→南北朝对峙框架就快成型）</t>
  </si>
  <si>
    <t>（罗马共和晚—帝制：格拉古→马略改革→苏拉→庞培/凯撒→奥古斯都（前27）→耶稣受难（～30CE）→犹太战争→五贤帝；萨珊取代帕提亚（224）；萨珊vs罗马经典敌对）</t>
  </si>
  <si>
    <t>（欧洲迁徙/蛮族压力与罗马体系内嵌：哥特受匈人压入帝国（378 Adrianople）→西罗马末帝被废（476叙述）；拜占庭续命）</t>
  </si>
  <si>
    <t>（玛雅古典期终端（Classic collapse 复杂成因：干旱/战争/人口）导致佩滕低地许多城弃置；托尔特克（Toltec）在中部墨西哥建图拉（Tula） hegemony 叙事）</t>
  </si>
  <si>
    <t>（印度：笈多（“黄金时代”）数学天文诗法繁荣；之后白匈奴（Huna）冲击；阿克苏姆改基督教；阿拉伯伊斯兰兴起（622/632）将重塑旧世界）</t>
  </si>
  <si>
    <t>公元前267年 → 公元前207年</t>
  </si>
  <si>
    <t>（西汉末—新莽余震→光武再统一算东汉；但按你数字这格=前267→前207其实是战国末期—秦统一前夜：就说：秦灭六国（前221）、书同文车同轨、修驰道长城灵渠、焚书坑儒叙事；南征百越/北击匈奴）</t>
  </si>
  <si>
    <t>（希腊化世界：托勒密/塞琉古互相耗；罗马已走向共和霸权；罗德岛/拜占庭商路；帕提亚吞塞琉古东部；犹太受两边夹）</t>
  </si>
  <si>
    <t>（罗马继续征服意大利半岛、pyrrhic战争、与迦太基第一次布匿；舰队经验把罗马拖成地中海海军）</t>
  </si>
  <si>
    <t>（玛雅 Preclassic→Early Classic 交接（按真实年代这格偏早，只能写：低地纪念碑传统正在铺开；中美洲球赛/历法/美洲豹祭仪制度化）</t>
  </si>
  <si>
    <t>（印度 Nanda 王朝集税机器→亚历山大到印度河→Chandragupta Maurya 借机建帝国/Ashoka 后弘扬佛教；锡兰传入佛教）</t>
  </si>
  <si>
    <t>公元前207年 → 公元前156年</t>
  </si>
  <si>
    <t>（楚汉相争→汉高祖建汉（前202）；吕后称制；文景之治蓄力；对匈奴和亲与边防拉锯）</t>
  </si>
  <si>
    <t>（罗马共和末与帝制前夜：马略/苏拉→庞培/凯撒→前三头破裂→凯撒独裁→被刺（前44）→屋大维vs安东尼（Actium 前31）→前27奥古斯都“恢复共和”实为帝制）</t>
  </si>
  <si>
    <t>（罗马：奥古斯都体制、近卫军/禁卫军、西班牙北部与阿尔卑斯诸战巩固边界；日耳曼尼库斯/瓦鲁斯灾难（Teutoburg 9CE）划定莱茵界）</t>
  </si>
  <si>
    <t>（玛雅：早期古典碑铭更频；安第斯 Qhapaq Ñan（安第斯路网）的“前身河谷级道路”已在 Wari 前体里运作；北美 Hopewell 衰退）</t>
  </si>
  <si>
    <t>（贵霜在月氏骨干部落基础上成帝国；阿克苏姆铸币与碑文（如 Ezana 后基督教化）；丝绸到罗马的间接贸易被中国史料称为“黎轩/大秦”传闻）</t>
  </si>
  <si>
    <t>公元前156年 → 公元前53年</t>
  </si>
  <si>
    <t>（汉武帝盛期：推恩令削藩、盐铁均输、刺史监察、独尊儒术制度化；卫青霍去病扫漠南；张骞二次通西域；巫蛊之祸动摇晚年；昭宣续守）</t>
  </si>
  <si>
    <t>（罗马：奥古斯都继承者提比略→卡利古拉→克劳狄征服不列颠→尼禄奢暴→弗拉维筑斗兽场/平息犹太→图拉真扩到 Dacia/阿拉伯；前53 就是 Carrhae：克拉苏被帕提亚重创）</t>
  </si>
  <si>
    <t>（欧洲行省化：高卢、不列颠南部、莱茵—多瑙防线；日耳曼部落被挡在莱茵外；希腊成文化符号而非军力）</t>
  </si>
  <si>
    <t>（玛雅：蒂卡尔/卡拉克穆尔/卡拉科尔的“星战”同盟与反转叙事在这几百年的不同段落里反复上演；特奥蒂瓦坎可能介入玛雅dynastic 变动）</t>
  </si>
  <si>
    <t>（贵霜鼎盛：迦腻色伽一世召集第四次结集、犍陀罗佛像定型；印度南部 Satavahana 与 Saka 西沙特拉普争夺孔波勒/德干贸易）</t>
  </si>
  <si>
    <t>公元前53年 → 公元116年</t>
  </si>
  <si>
    <t>（西汉昭宣中兴→元帝柔仁→成帝荒嬉→王氏外戚揽权→王莽改制（复古失败）→绿林赤眉→光武中兴（25）定都洛阳；明章二帝北征/西域班超再通）</t>
  </si>
  <si>
    <t>（罗马：图拉真到极限（亚美尼亚/美索不达米亚临时并省，116 占泰西封又急退）；哈德良继位“战略收缩”、建哈德良长城；犹太巴尔·科赫巴起义（132–135）终局）</t>
  </si>
  <si>
    <t>（拜占庭/东方边境与莱茵多瑙双线牵制；基督教从犹太教内争议变成跨省城市信仰社群→殉道叙事→君士坦丁前夜）</t>
  </si>
  <si>
    <t>（玛雅古典：佩滕低地超级城市群（蒂卡尔/帕伦克/卡拉科等）在碑铭里反复结盟与清算；安第斯早 intermediate 期小王国争渠争海鸟粪）</t>
  </si>
  <si>
    <t>（贵霜延续；阿克苏姆更强国（与罗马/印度贸易圈）；萨珊vs罗马继续换将；印度笈多还没到（更后））</t>
  </si>
  <si>
    <t>公元116年</t>
  </si>
  <si>
    <t>（东汉：永初羌乱/党锢反复；顺帝后戚宦更迭；黄巾在酝酿但还早；西域都护时断时续）</t>
  </si>
  <si>
    <t>（罗马：哈德良统治（117–138）定“防守帝国”基调；安敦尼·庇护平稳；马可·奥勒留要面对莱茵多瑙与东方同时吃紧）</t>
  </si>
  <si>
    <t>（欧洲：莱茵/多瑙防线维护、不列颠驻军成本争议、钱币贬值苗头、基督教社群扩大但仍“非法”）</t>
  </si>
  <si>
    <t>公元116年 → 公元169年</t>
  </si>
  <si>
    <t>（东汉中后期：外戚—宦官循环（梁冀→五侯→十常侍）；党锢之祸（166 第一次牵连“大秦使者”传闻）；鲜卑檀石槐联盟成边患；田亩兼并加剧）</t>
  </si>
  <si>
    <t>（罗马：安东尼瘟疫（165–180 可能天花）随远征军回传重创人口与征兵；东部边境与萨珊还没接班（仍帕提亚尾声）；哲学上属“第二诡辩派/皇帝哲学家”时代）</t>
  </si>
  <si>
    <t>（日耳曼部落趁疫/军疲骚扰；行省城市精英文化（小亚细亚/叙利亚）繁荣；高卢里昂等基督社团受镇压）</t>
  </si>
  <si>
    <t>（玛雅：蒂卡尔与卡拉克穆尔“超级大国”互撕；特奥蒂瓦坎对玛雅的影响可能在晚段减弱，特城本身也走向内压（缺水/火祭性破坏））</t>
  </si>
  <si>
    <t>（贵霜继续控制丝路南道；印度案达罗/萨塔瓦哈纳与塞种饱和；阿克苏姆更稳；东西方间接贸易走红海—尼罗—亚历山大）</t>
  </si>
  <si>
    <t>公元169年 → 公元1269年</t>
  </si>
  <si>
    <t>（东汉崩→三国（184黄巾—196挟天子—220魏立）三国鼎立与人口锐减→西晋短暂统（280）—八王乱—永嘉南渡→东晋十六国/北朝南朝并立；北魏孝文帝汉化；隋一度重统（581/589））</t>
  </si>
  <si>
    <t>（萨珊波斯正式取代帕提亚（224）；萨珊 vs 罗马/拜占庭为“两强主轴”；穆罕默德传教（610始/622希吉拉/632逝世）→四大哈里发扩张→伍麦叶→阿拔斯（750）建巴格达（762））</t>
  </si>
  <si>
    <t>（西罗马476叙事性终结→拜占庭扛东线；法兰克墨洛温/加洛林（查理曼800）重构西欧政治；维京（8c末起）突袭改写海岸线与贸易；十字军（1095起）把欧—西亚再次前线化）</t>
  </si>
  <si>
    <t>（玛雅 Postclassic：奇琴伊察/玛雅潘/卡拉克穆尔衰退后的新中心；中部墨西哥 Toltec→Aztec 崛起前夜（Mexica 还在流浪）；安第斯中间期小王国→Chimú 沿北海岸建土城与灌渠）</t>
  </si>
  <si>
    <t>（印度：戒日王（Harsha 606–647）北印短暂集权→后古普塔碎片；南印 Chola（注：朱罗）真正外扩在9–11c；阿拉伯航海把印度洋贸易重排；非洲 Swahili 城邦（7c后）起）</t>
  </si>
  <si>
    <t>公元1269年</t>
  </si>
  <si>
    <t>（南宋后期：蒙古压境；襄阳久围（1267–1273）决定江淮门户；贾似道专权与财政纸币失信；临安朝廷摇摇欲坠）</t>
  </si>
  <si>
    <t>（阿拔斯巴格达被蒙古旭烈兀攻陷（1258）早已发生；1269年更多落在马穆鲁克—伊儿汗国对峙与叙利亚拉锯；十字军据点只剩零星海岸）</t>
  </si>
  <si>
    <t>（欧洲：英法百年战争前期（1337才爆，但法王收权/英王在法领地矛盾已发酵）；教皇与世俗王权之争（阿维尼翁/天主教会分裂前兆）；威尼斯—热那亚海上竞逐）</t>
  </si>
  <si>
    <t>（中美洲 Postclassic：Aztec Triple Alliance（Mexica-Texcoco-Tlacopan）实际在1428确立，但13世纪末是“前期墨西加部落联盟/部落纷争与迁移”阶段）</t>
  </si>
  <si>
    <t>（德里苏丹（Mamluk/Khilji）在北印扩张征税机器；东非 Swahili 城邦连印度洋季风网；马来群岛贸易港（Srivijaya 衰/满者伯夷起））</t>
  </si>
  <si>
    <t>（同上一行：南宋景炎/德祐前后（1270s）：陆秀夫/文天祥叙事进入终章；泉州海商集团与蒲寿庚转向；元朝建号（1271）只是时间窗）</t>
  </si>
  <si>
    <t>（同上：马穆鲁克拜巴尔/嘉拉温体制稳固；伊儿汗合赞后来才改宗伊斯兰并整顿税（1295）；1269仍在蒙古宗主权名义下的“双中心博弈”）</t>
  </si>
  <si>
    <t>（同上：欧洲城镇货币复兴、行会、大学（巴黎/牛津/剑桥/博洛尼亚）形成知识—法律—行政新阶层；汉萨同盟雏形港口联盟）</t>
  </si>
  <si>
    <t>（同上：Andean Late Intermediate：Chimú 势力北伸；Inca 在库斯科谷地仍是小酋邦但开始吞并邻居（Pachacuti 要到15mid））</t>
  </si>
  <si>
    <t>（印度：Alauddin Khilji 还没上台（1296）；Deccan 与南方各教王/维贾亚纳加尔还要等14c；跨印度洋贸易由阿拉伯/古吉拉特/斯瓦希里瓜分）</t>
  </si>
  <si>
    <t>公元1269年 → 公元1847年</t>
  </si>
  <si>
    <t>（元（1271–1368）：行省制、大运河重开、钞法通胀、色目商人与穆斯林技术官僚；明（1368起）：洪武集权/锦衣卫、永乐北伐与下西洋（郑和1405–1433）、迁都北京；清（1644起）：康雍乾疆域极盛、文字狱、人口爆炸→鸦片战争（1840）与南京条约（1842）把近代硬打开）</t>
  </si>
  <si>
    <t>（奥斯曼：1299建国→1453取君士坦丁堡→苏莱曼立法者巅峰；萨法维波斯（1501）重塑什叶派轴心；地理大发现后西欧绕好望角破旧商路；一战前“东方问题”让西亚成列强棋盘）</t>
  </si>
  <si>
    <t>（文艺复兴/宗教改革（1517）/大航海/启蒙/法国大革命（1789）/拿破仑/工业革命/维也纳体系/1848春：城市化、铁路、电报、工厂法、殖民帝国瓜分非洲与亚洲口岸）</t>
  </si>
  <si>
    <t>（美洲：1492哥伦布→西班牙征服 Aztec（1519–1521）&amp; Inca（1532–1572）→三角贸易与种植园奴隶制；北美13州独立（1776）→美利坚宪法（1787）→19c西进与内战（1861–65）前奏在</t>
  </si>
  <si>
    <t>对应的历史事件（按新推算）
东亚	西亚	欧洲	美洲	其他</t>
    <phoneticPr fontId="4" type="noConversion"/>
  </si>
  <si>
    <t>公元1847年 → 公元1912年</t>
  </si>
  <si>
    <t>（晚清：太平天国（1851–1864）席卷半壁江山；第二次鸦片战争（1856–1860）与北京圆明园劫毁；洋务运动（1861起）办工厂/海军/学堂；甲午战争（1894–1895）惨败、马关条约割台赔款；戊戌变法（1898）百日而终；义和团（1899–1901）与八国联军；清末新政（1901–1911）立宪、练新军、废科举；1911辛亥革命，1912中华民国成立，溥仪退位）</t>
  </si>
  <si>
    <t>（西亚：奥斯曼坦志麦特改革（Tanzimat，1839–1876）试图西化集权；苏伊士运河通航（1869）使埃及成英法争夺焦点；1881–1899 法国、意大利、英国相继侵占北非（突尼斯、利比亚、埃及）；波斯卡扎尔王朝沦为英俄缓冲区；1908青年土耳其革命推翻苏丹专制；阿拉伯民族主义与锡安主义在巴勒斯坦开始抬头）</t>
  </si>
  <si>
    <t>（欧洲：1848革命浪潮席卷多国（法、德、奥、意）；1861意大利统一完成；1871德意志统一（普法战争、凡尔赛称帝）；1870–1914第二次工业革命：电力、内燃机、化学工业、钢铁、垄断资本；马克思《资本论》第一卷（1867）；1871巴黎公社；1904–1905日俄战争在欧洲舆论场引发震动；1912巴尔干战争削弱奥斯曼在欧洲残余）</t>
  </si>
  <si>
    <t>（美洲：美国南北战争（1861–1865）废除奴隶制、联邦巩固；西进运动与印第安战争基本完成（1890伤膝河）；美西战争（1898）夺古巴/波多黎各/菲律宾，成太平洋—加勒比帝国；拉丁美洲：考迪罗（Caudillo）军阀循环、咖啡/牛肉/矿产出口经济依附欧美资本；巴西废除奴隶制（1888）、建立共和国（1889）；墨西哥迪亚斯独裁（1876–1911）现代化与农民不满并存）</t>
  </si>
  <si>
    <t>（其他：日本明治维新（1868起）废藩置县、殖产兴业、征韩论与甲午/日俄胜利；印度1857兵变后由东印度公司统治转为英王直辖（1876维多利亚女皇头衔）；非洲：柏林会议（1884–1885）瓜分非洲，刚果自由邦、南非英布战争（1899–1902）；东南亚：英法荷殖民深化（越南、暹罗缓冲国、荷属东印度）；全球金本位、海底电缆、远洋轮船、世界时间（格林尼治标准时）一体化）</t>
  </si>
  <si>
    <t>（西汉建立：刘邦称帝（前202）→文景之治；七国之乱（前154）→汉武帝：推恩令/盐铁专卖/独尊儒术/击匈奴/丝绸之路凿空（张骞）；王莽篡汉（AD 9）→光武中兴）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</si>
</sst>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宋体"/>
      <charset val="134"/>
      <scheme val="minor"/>
    </font>
    <font>
      <b/>
      <sz val="11"/>
      <name val="宋体"/>
      <charset val="134"/>
      <scheme val="minor"/>
    </font>
    <font>
      <sz val="11"/>
      <name val="宋体"/>
      <charset val="134"/>
      <scheme val="minor"/>
    </font>
    <font>
      <sz val="11"/>
      <color rgb="FFFF0000"/>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
      <b/>
      <sz val="11"/>
      <name val="宋体"/>
      <family val="3"/>
      <charset val="134"/>
      <scheme val="minor"/>
    </font>
    <font>
      <sz val="11"/>
      <color theme="1"/>
      <name val="SimSun-ExtB"/>
      <family val="3"/>
      <charset val="134"/>
    </font>
    <font>
      <sz val="11"/>
      <color theme="1"/>
      <name val="宋体"/>
      <family val="1"/>
      <scheme val="minor"/>
    </font>
  </fonts>
  <fills count="2">
    <fill>
      <patternFill patternType="none"/>
    </fill>
    <fill>
      <patternFill patternType="gray125"/>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0"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5" fillId="0" borderId="0" xfId="0" applyFont="1" applyAlignment="1">
      <alignment vertical="center" wrapText="1"/>
    </xf>
    <xf numFmtId="0" fontId="7" fillId="0" borderId="1" xfId="0" applyFont="1" applyBorder="1" applyAlignment="1">
      <alignment horizontal="left" vertical="center" wrapText="1"/>
    </xf>
    <xf numFmtId="0" fontId="5" fillId="0" borderId="0" xfId="0" applyFont="1">
      <alignment vertical="center"/>
    </xf>
    <xf numFmtId="0" fontId="5" fillId="0" borderId="0" xfId="0" applyFont="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4"/>
  <sheetViews>
    <sheetView tabSelected="1" zoomScale="85" zoomScaleNormal="85" workbookViewId="0">
      <pane ySplit="1" topLeftCell="A26" activePane="bottomLeft" state="frozen"/>
      <selection pane="bottomLeft" activeCell="U35" sqref="U35"/>
    </sheetView>
  </sheetViews>
  <sheetFormatPr defaultColWidth="9.26953125" defaultRowHeight="20" customHeight="1" x14ac:dyDescent="0.25"/>
  <cols>
    <col min="1" max="1" width="8.26953125" style="1" customWidth="1"/>
    <col min="2" max="3" width="9.26953125" style="1"/>
    <col min="4" max="4" width="9.26953125" style="1" customWidth="1"/>
    <col min="5" max="5" width="9.7265625" style="1" customWidth="1"/>
    <col min="6" max="6" width="7.90625" style="1" customWidth="1"/>
    <col min="7" max="7" width="9.36328125" style="1" customWidth="1"/>
    <col min="8" max="8" width="11.453125" style="1" customWidth="1"/>
    <col min="9" max="10" width="11.81640625" style="1" customWidth="1"/>
    <col min="11" max="11" width="12.08984375" style="1" customWidth="1"/>
    <col min="12" max="12" width="31.81640625" style="1" customWidth="1"/>
    <col min="13" max="17" width="17.1796875" style="1" customWidth="1"/>
    <col min="18" max="22" width="17.90625" style="1" customWidth="1"/>
    <col min="23" max="16384" width="9.26953125" style="1"/>
  </cols>
  <sheetData>
    <row r="1" spans="1:22" ht="48" customHeight="1" thickBot="1" x14ac:dyDescent="0.3">
      <c r="A1" s="2" t="s">
        <v>0</v>
      </c>
      <c r="B1" s="3" t="s">
        <v>1</v>
      </c>
      <c r="C1" s="3" t="s">
        <v>2</v>
      </c>
      <c r="D1" s="1" t="s">
        <v>3</v>
      </c>
      <c r="E1" s="1" t="s">
        <v>4</v>
      </c>
      <c r="F1" s="1" t="s">
        <v>5</v>
      </c>
      <c r="G1" s="1" t="s">
        <v>6</v>
      </c>
      <c r="H1" s="1" t="s">
        <v>7</v>
      </c>
      <c r="I1" s="1" t="s">
        <v>8</v>
      </c>
      <c r="J1" s="1" t="s">
        <v>9</v>
      </c>
      <c r="K1" s="1" t="s">
        <v>10</v>
      </c>
      <c r="L1" s="4" t="s">
        <v>11</v>
      </c>
      <c r="M1" s="10" t="s">
        <v>81</v>
      </c>
      <c r="N1" s="10"/>
      <c r="O1" s="10"/>
      <c r="P1" s="10"/>
      <c r="Q1" s="10"/>
      <c r="R1" s="10" t="s">
        <v>365</v>
      </c>
      <c r="S1" s="10"/>
      <c r="T1" s="10"/>
      <c r="U1" s="10"/>
      <c r="V1" s="10"/>
    </row>
    <row r="2" spans="1:22" ht="20" customHeight="1" thickBot="1" x14ac:dyDescent="0.3">
      <c r="A2" s="8" t="s">
        <v>60</v>
      </c>
      <c r="B2" s="3">
        <f t="array" ref="B2">C3</f>
        <v>-19512</v>
      </c>
      <c r="C2" s="3">
        <f t="array" ref="C2">B2-F2</f>
        <v>-19512</v>
      </c>
      <c r="D2" s="1">
        <f t="shared" ref="D2:D12" si="0">B2+4413</f>
        <v>-15099</v>
      </c>
      <c r="E2" s="1">
        <f t="shared" ref="E2:E12" si="1">C2+4413</f>
        <v>-15099</v>
      </c>
      <c r="F2" s="1">
        <v>0</v>
      </c>
      <c r="G2" s="1">
        <v>0</v>
      </c>
      <c r="H2" s="1">
        <f t="array" ref="H2">I2-G2</f>
        <v>-21466</v>
      </c>
      <c r="I2" s="1">
        <f t="array" ref="I2">H3</f>
        <v>-21466</v>
      </c>
      <c r="J2" s="1">
        <f t="shared" ref="J2:J12" si="2">H2+4413</f>
        <v>-17053</v>
      </c>
      <c r="K2" s="1">
        <f t="shared" ref="K2:K12" si="3">I2+4413</f>
        <v>-17053</v>
      </c>
      <c r="L2" s="7" t="s">
        <v>64</v>
      </c>
      <c r="R2" s="1" t="s">
        <v>124</v>
      </c>
      <c r="S2" s="1" t="s">
        <v>125</v>
      </c>
      <c r="T2" s="1" t="s">
        <v>126</v>
      </c>
      <c r="U2" s="1" t="s">
        <v>127</v>
      </c>
      <c r="V2" s="1" t="s">
        <v>128</v>
      </c>
    </row>
    <row r="3" spans="1:22" ht="20" customHeight="1" x14ac:dyDescent="0.25">
      <c r="A3" s="8" t="s">
        <v>59</v>
      </c>
      <c r="B3" s="3">
        <f t="array" ref="B3">C4</f>
        <v>-17012</v>
      </c>
      <c r="C3" s="3">
        <f t="array" ref="C3">B3-F3</f>
        <v>-19512</v>
      </c>
      <c r="D3" s="1">
        <f t="shared" si="0"/>
        <v>-12599</v>
      </c>
      <c r="E3" s="1">
        <f t="shared" si="1"/>
        <v>-15099</v>
      </c>
      <c r="F3" s="1">
        <v>2500</v>
      </c>
      <c r="G3" s="1">
        <v>2500</v>
      </c>
      <c r="H3" s="1">
        <f t="array" ref="H3">I3-G3</f>
        <v>-21466</v>
      </c>
      <c r="I3" s="1">
        <f t="array" ref="I3">H4</f>
        <v>-18966</v>
      </c>
      <c r="J3" s="1">
        <f t="shared" si="2"/>
        <v>-17053</v>
      </c>
      <c r="K3" s="1">
        <f t="shared" si="3"/>
        <v>-14553</v>
      </c>
      <c r="L3" s="7" t="s">
        <v>61</v>
      </c>
      <c r="R3" s="1" t="s">
        <v>130</v>
      </c>
      <c r="S3" s="1" t="s">
        <v>131</v>
      </c>
      <c r="T3" s="1" t="s">
        <v>132</v>
      </c>
      <c r="U3" s="1" t="s">
        <v>133</v>
      </c>
      <c r="V3" s="1" t="s">
        <v>134</v>
      </c>
    </row>
    <row r="4" spans="1:22" ht="20" customHeight="1" x14ac:dyDescent="0.25">
      <c r="A4" s="8" t="s">
        <v>58</v>
      </c>
      <c r="B4" s="3">
        <f t="array" ref="B4">C5</f>
        <v>-15012</v>
      </c>
      <c r="C4" s="3">
        <f t="array" ref="C4">B4-F4</f>
        <v>-17012</v>
      </c>
      <c r="D4" s="1">
        <f t="shared" si="0"/>
        <v>-10599</v>
      </c>
      <c r="E4" s="1">
        <f t="shared" si="1"/>
        <v>-12599</v>
      </c>
      <c r="F4" s="1">
        <v>2000</v>
      </c>
      <c r="G4" s="1">
        <v>2000</v>
      </c>
      <c r="H4" s="1">
        <f t="array" ref="H4">I4-G4</f>
        <v>-18966</v>
      </c>
      <c r="I4" s="1">
        <f t="array" ref="I4">H5</f>
        <v>-16966</v>
      </c>
      <c r="J4" s="1">
        <f t="shared" si="2"/>
        <v>-14553</v>
      </c>
      <c r="K4" s="1">
        <f t="shared" si="3"/>
        <v>-12553</v>
      </c>
      <c r="L4" s="7" t="s">
        <v>62</v>
      </c>
      <c r="R4" s="1" t="s">
        <v>136</v>
      </c>
      <c r="S4" s="1" t="s">
        <v>137</v>
      </c>
      <c r="T4" s="1" t="s">
        <v>138</v>
      </c>
      <c r="U4" s="1" t="s">
        <v>139</v>
      </c>
      <c r="V4" s="1" t="s">
        <v>140</v>
      </c>
    </row>
    <row r="5" spans="1:22" ht="20" customHeight="1" thickBot="1" x14ac:dyDescent="0.3">
      <c r="A5" s="8" t="s">
        <v>57</v>
      </c>
      <c r="B5" s="3">
        <f t="array" ref="B5">C6</f>
        <v>-13512</v>
      </c>
      <c r="C5" s="3">
        <f t="array" ref="C5">B5-F5</f>
        <v>-15012</v>
      </c>
      <c r="D5" s="1">
        <f t="shared" si="0"/>
        <v>-9099</v>
      </c>
      <c r="E5" s="1">
        <f t="shared" si="1"/>
        <v>-10599</v>
      </c>
      <c r="F5" s="1">
        <v>1500</v>
      </c>
      <c r="G5" s="1">
        <v>1500</v>
      </c>
      <c r="H5" s="1">
        <f t="array" ref="H5">I5-G5</f>
        <v>-16966</v>
      </c>
      <c r="I5" s="1">
        <f t="array" ref="I5">H6</f>
        <v>-15466</v>
      </c>
      <c r="J5" s="1">
        <f t="shared" si="2"/>
        <v>-12553</v>
      </c>
      <c r="K5" s="1">
        <f t="shared" si="3"/>
        <v>-11053</v>
      </c>
      <c r="L5" s="7" t="s">
        <v>80</v>
      </c>
      <c r="R5" s="1" t="s">
        <v>142</v>
      </c>
      <c r="S5" s="1" t="s">
        <v>143</v>
      </c>
      <c r="T5" s="1" t="s">
        <v>144</v>
      </c>
      <c r="U5" s="1" t="s">
        <v>145</v>
      </c>
      <c r="V5" s="1" t="s">
        <v>146</v>
      </c>
    </row>
    <row r="6" spans="1:22" ht="20" customHeight="1" thickBot="1" x14ac:dyDescent="0.3">
      <c r="A6" s="8" t="s">
        <v>66</v>
      </c>
      <c r="B6" s="3">
        <f t="array" ref="B6">C7</f>
        <v>-12512</v>
      </c>
      <c r="C6" s="3">
        <f t="array" ref="C6">B6-F6</f>
        <v>-13512</v>
      </c>
      <c r="D6" s="1">
        <f t="shared" si="0"/>
        <v>-8099</v>
      </c>
      <c r="E6" s="1">
        <f t="shared" si="1"/>
        <v>-9099</v>
      </c>
      <c r="F6" s="1">
        <v>1000</v>
      </c>
      <c r="G6" s="1">
        <v>1000</v>
      </c>
      <c r="H6" s="1">
        <f t="array" ref="H6">I6-G6</f>
        <v>-15466</v>
      </c>
      <c r="I6" s="1">
        <f t="array" ref="I6">H7</f>
        <v>-14466</v>
      </c>
      <c r="J6" s="1">
        <f t="shared" si="2"/>
        <v>-11053</v>
      </c>
      <c r="K6" s="1">
        <f t="shared" si="3"/>
        <v>-10053</v>
      </c>
      <c r="L6" s="7" t="s">
        <v>69</v>
      </c>
      <c r="R6" s="1" t="s">
        <v>148</v>
      </c>
      <c r="S6" s="1" t="s">
        <v>149</v>
      </c>
      <c r="T6" s="1" t="s">
        <v>150</v>
      </c>
      <c r="U6" s="1" t="s">
        <v>151</v>
      </c>
      <c r="V6" s="1" t="s">
        <v>152</v>
      </c>
    </row>
    <row r="7" spans="1:22" ht="20" customHeight="1" thickBot="1" x14ac:dyDescent="0.3">
      <c r="A7" s="8" t="s">
        <v>67</v>
      </c>
      <c r="B7" s="3">
        <f t="array" ref="B7">C8</f>
        <v>-10512</v>
      </c>
      <c r="C7" s="3">
        <f t="array" ref="C7">B7-F7</f>
        <v>-12512</v>
      </c>
      <c r="D7" s="1">
        <f t="shared" si="0"/>
        <v>-6099</v>
      </c>
      <c r="E7" s="1">
        <f t="shared" si="1"/>
        <v>-8099</v>
      </c>
      <c r="F7" s="1">
        <v>2000</v>
      </c>
      <c r="G7" s="1">
        <v>2000</v>
      </c>
      <c r="H7" s="1">
        <f t="array" ref="H7">I7-G7</f>
        <v>-14466</v>
      </c>
      <c r="I7" s="1">
        <f t="array" ref="I7">H8</f>
        <v>-12466</v>
      </c>
      <c r="J7" s="1">
        <f t="shared" si="2"/>
        <v>-10053</v>
      </c>
      <c r="K7" s="1">
        <f t="shared" si="3"/>
        <v>-8053</v>
      </c>
      <c r="L7" s="7" t="s">
        <v>68</v>
      </c>
      <c r="R7" s="1" t="s">
        <v>154</v>
      </c>
      <c r="S7" s="1" t="s">
        <v>155</v>
      </c>
      <c r="T7" s="1" t="s">
        <v>156</v>
      </c>
      <c r="U7" s="1" t="s">
        <v>157</v>
      </c>
      <c r="V7" s="1" t="s">
        <v>158</v>
      </c>
    </row>
    <row r="8" spans="1:22" ht="20" customHeight="1" thickBot="1" x14ac:dyDescent="0.3">
      <c r="A8" s="8" t="s">
        <v>70</v>
      </c>
      <c r="B8" s="3">
        <f t="array" ref="B8">C9</f>
        <v>-10112</v>
      </c>
      <c r="C8" s="3">
        <f t="array" ref="C8">B8-F8</f>
        <v>-10512</v>
      </c>
      <c r="D8" s="1">
        <f t="shared" si="0"/>
        <v>-5699</v>
      </c>
      <c r="E8" s="1">
        <f t="shared" si="1"/>
        <v>-6099</v>
      </c>
      <c r="F8" s="1">
        <v>400</v>
      </c>
      <c r="G8" s="1">
        <v>400</v>
      </c>
      <c r="H8" s="1">
        <f t="array" ref="H8">I8-G8</f>
        <v>-12466</v>
      </c>
      <c r="I8" s="1">
        <f t="array" ref="I8">H9</f>
        <v>-12066</v>
      </c>
      <c r="J8" s="1">
        <f t="shared" si="2"/>
        <v>-8053</v>
      </c>
      <c r="K8" s="1">
        <f t="shared" si="3"/>
        <v>-7653</v>
      </c>
      <c r="L8" s="7" t="s">
        <v>77</v>
      </c>
      <c r="R8" s="1" t="s">
        <v>160</v>
      </c>
      <c r="S8" s="1" t="s">
        <v>161</v>
      </c>
      <c r="T8" s="1" t="s">
        <v>162</v>
      </c>
      <c r="U8" s="1" t="s">
        <v>163</v>
      </c>
      <c r="V8" s="1" t="s">
        <v>164</v>
      </c>
    </row>
    <row r="9" spans="1:22" ht="20" customHeight="1" thickBot="1" x14ac:dyDescent="0.3">
      <c r="A9" s="8" t="s">
        <v>71</v>
      </c>
      <c r="B9" s="3">
        <f t="array" ref="B9">C10</f>
        <v>-9512</v>
      </c>
      <c r="C9" s="3">
        <f t="array" ref="C9">B9-F9</f>
        <v>-10112</v>
      </c>
      <c r="D9" s="1">
        <f t="shared" si="0"/>
        <v>-5099</v>
      </c>
      <c r="E9" s="1">
        <f t="shared" si="1"/>
        <v>-5699</v>
      </c>
      <c r="F9" s="1">
        <v>600</v>
      </c>
      <c r="G9" s="1">
        <v>600</v>
      </c>
      <c r="H9" s="1">
        <f t="array" ref="H9">I9-G9</f>
        <v>-12066</v>
      </c>
      <c r="I9" s="1">
        <f t="array" ref="I9">H10</f>
        <v>-11466</v>
      </c>
      <c r="J9" s="1">
        <f t="shared" si="2"/>
        <v>-7653</v>
      </c>
      <c r="K9" s="1">
        <f t="shared" si="3"/>
        <v>-7053</v>
      </c>
      <c r="L9" s="7" t="s">
        <v>78</v>
      </c>
      <c r="R9" s="1" t="s">
        <v>166</v>
      </c>
      <c r="S9" s="1" t="s">
        <v>167</v>
      </c>
      <c r="T9" s="1" t="s">
        <v>168</v>
      </c>
      <c r="U9" s="1" t="s">
        <v>169</v>
      </c>
      <c r="V9" s="1" t="s">
        <v>170</v>
      </c>
    </row>
    <row r="10" spans="1:22" ht="20" customHeight="1" thickBot="1" x14ac:dyDescent="0.3">
      <c r="A10" s="8" t="s">
        <v>72</v>
      </c>
      <c r="B10" s="3">
        <f t="array" ref="B10">C11</f>
        <v>-9112</v>
      </c>
      <c r="C10" s="3">
        <f t="array" ref="C10">B10-F10</f>
        <v>-9512</v>
      </c>
      <c r="D10" s="1">
        <f t="shared" si="0"/>
        <v>-4699</v>
      </c>
      <c r="E10" s="1">
        <f t="shared" si="1"/>
        <v>-5099</v>
      </c>
      <c r="F10" s="1">
        <v>400</v>
      </c>
      <c r="G10" s="1">
        <v>400</v>
      </c>
      <c r="H10" s="1">
        <f t="array" ref="H10">I10-G10</f>
        <v>-11466</v>
      </c>
      <c r="I10" s="1">
        <f t="array" ref="I10">H11</f>
        <v>-11066</v>
      </c>
      <c r="J10" s="1">
        <f t="shared" si="2"/>
        <v>-7053</v>
      </c>
      <c r="K10" s="1">
        <f t="shared" si="3"/>
        <v>-6653</v>
      </c>
      <c r="L10" s="7" t="s">
        <v>79</v>
      </c>
      <c r="R10" s="1" t="s">
        <v>172</v>
      </c>
      <c r="S10" s="1" t="s">
        <v>173</v>
      </c>
      <c r="T10" s="1" t="s">
        <v>174</v>
      </c>
      <c r="U10" s="1" t="s">
        <v>175</v>
      </c>
      <c r="V10" s="1" t="s">
        <v>176</v>
      </c>
    </row>
    <row r="11" spans="1:22" ht="20" customHeight="1" thickBot="1" x14ac:dyDescent="0.3">
      <c r="A11" s="8" t="s">
        <v>73</v>
      </c>
      <c r="B11" s="3">
        <f t="array" ref="B11">C12</f>
        <v>-6112</v>
      </c>
      <c r="C11" s="3">
        <f t="array" ref="C11">B11-F11</f>
        <v>-9112</v>
      </c>
      <c r="D11" s="1">
        <f t="shared" si="0"/>
        <v>-1699</v>
      </c>
      <c r="E11" s="1">
        <f t="shared" si="1"/>
        <v>-4699</v>
      </c>
      <c r="F11" s="1">
        <v>3000</v>
      </c>
      <c r="G11" s="1">
        <v>3000</v>
      </c>
      <c r="H11" s="1">
        <f t="array" ref="H11">I11-G11</f>
        <v>-11066</v>
      </c>
      <c r="I11" s="1">
        <f t="array" ref="I11">H12</f>
        <v>-8066</v>
      </c>
      <c r="J11" s="1">
        <f t="shared" si="2"/>
        <v>-6653</v>
      </c>
      <c r="K11" s="1">
        <f t="shared" si="3"/>
        <v>-3653</v>
      </c>
      <c r="L11" s="7" t="s">
        <v>82</v>
      </c>
      <c r="R11" s="1" t="s">
        <v>178</v>
      </c>
      <c r="S11" s="1" t="s">
        <v>179</v>
      </c>
      <c r="T11" s="1" t="s">
        <v>180</v>
      </c>
      <c r="U11" s="1" t="s">
        <v>181</v>
      </c>
      <c r="V11" s="1" t="s">
        <v>182</v>
      </c>
    </row>
    <row r="12" spans="1:22" ht="20" customHeight="1" thickBot="1" x14ac:dyDescent="0.3">
      <c r="A12" s="8" t="s">
        <v>74</v>
      </c>
      <c r="B12" s="3">
        <f t="array" ref="B12">C13</f>
        <v>-4812</v>
      </c>
      <c r="C12" s="3">
        <f t="array" ref="C12">B12-F12</f>
        <v>-6112</v>
      </c>
      <c r="D12" s="1">
        <f t="shared" si="0"/>
        <v>-399</v>
      </c>
      <c r="E12" s="1">
        <f t="shared" si="1"/>
        <v>-1699</v>
      </c>
      <c r="F12" s="1">
        <v>1300</v>
      </c>
      <c r="G12" s="1">
        <v>1300</v>
      </c>
      <c r="H12" s="1">
        <f t="array" ref="H12">I12-G12</f>
        <v>-8066</v>
      </c>
      <c r="I12" s="1">
        <f t="array" ref="I12">H13</f>
        <v>-6766</v>
      </c>
      <c r="J12" s="1">
        <f t="shared" si="2"/>
        <v>-3653</v>
      </c>
      <c r="K12" s="1">
        <f t="shared" si="3"/>
        <v>-2353</v>
      </c>
      <c r="L12" s="7" t="s">
        <v>76</v>
      </c>
      <c r="R12" s="1" t="s">
        <v>184</v>
      </c>
      <c r="S12" s="1" t="s">
        <v>185</v>
      </c>
      <c r="T12" s="1" t="s">
        <v>186</v>
      </c>
      <c r="U12" s="1" t="s">
        <v>187</v>
      </c>
      <c r="V12" s="1" t="s">
        <v>188</v>
      </c>
    </row>
    <row r="13" spans="1:22" ht="20" customHeight="1" thickBot="1" x14ac:dyDescent="0.3">
      <c r="A13" s="8" t="s">
        <v>56</v>
      </c>
      <c r="B13" s="3">
        <f t="array" ref="B13">C14</f>
        <v>-4312</v>
      </c>
      <c r="C13" s="3">
        <f t="array" ref="C13">B13-F13</f>
        <v>-4812</v>
      </c>
      <c r="D13" s="1">
        <f t="shared" ref="D13:D14" si="4">B13+4413</f>
        <v>101</v>
      </c>
      <c r="E13" s="1">
        <f t="shared" ref="E13:E14" si="5">C13+4413</f>
        <v>-399</v>
      </c>
      <c r="F13" s="1">
        <v>500</v>
      </c>
      <c r="G13" s="1">
        <v>500</v>
      </c>
      <c r="H13" s="1">
        <f t="array" ref="H13">I13-G13</f>
        <v>-6766</v>
      </c>
      <c r="I13" s="1">
        <f t="array" ref="I13">H14</f>
        <v>-6266</v>
      </c>
      <c r="J13" s="1">
        <f t="shared" ref="J13:J14" si="6">H13+4413</f>
        <v>-2353</v>
      </c>
      <c r="K13" s="1">
        <f t="shared" ref="K13:K14" si="7">I13+4413</f>
        <v>-1853</v>
      </c>
      <c r="L13" s="7" t="s">
        <v>75</v>
      </c>
      <c r="R13" s="1" t="s">
        <v>190</v>
      </c>
      <c r="S13" s="1" t="s">
        <v>191</v>
      </c>
      <c r="T13" s="1" t="s">
        <v>192</v>
      </c>
      <c r="U13" s="1" t="s">
        <v>193</v>
      </c>
      <c r="V13" s="1" t="s">
        <v>194</v>
      </c>
    </row>
    <row r="14" spans="1:22" ht="20" customHeight="1" x14ac:dyDescent="0.25">
      <c r="A14" s="8" t="s">
        <v>55</v>
      </c>
      <c r="B14" s="3">
        <f t="array" ref="B14">C15</f>
        <v>-3612</v>
      </c>
      <c r="C14" s="3">
        <f t="array" ref="C14">B14-F14</f>
        <v>-4312</v>
      </c>
      <c r="D14" s="1">
        <f t="shared" si="4"/>
        <v>801</v>
      </c>
      <c r="E14" s="1">
        <f t="shared" si="5"/>
        <v>101</v>
      </c>
      <c r="F14" s="1">
        <v>700</v>
      </c>
      <c r="G14" s="1">
        <v>700</v>
      </c>
      <c r="H14" s="1">
        <f t="array" ref="H14">I14-G14</f>
        <v>-6266</v>
      </c>
      <c r="I14" s="1">
        <f t="array" ref="I14">H15</f>
        <v>-5566</v>
      </c>
      <c r="J14" s="1">
        <f t="shared" si="6"/>
        <v>-1853</v>
      </c>
      <c r="K14" s="1">
        <f t="shared" si="7"/>
        <v>-1153</v>
      </c>
      <c r="L14" s="7" t="s">
        <v>63</v>
      </c>
      <c r="R14" s="1" t="s">
        <v>196</v>
      </c>
      <c r="S14" s="1" t="s">
        <v>197</v>
      </c>
      <c r="T14" s="1" t="s">
        <v>198</v>
      </c>
      <c r="U14" s="1" t="s">
        <v>199</v>
      </c>
      <c r="V14" s="1" t="s">
        <v>200</v>
      </c>
    </row>
    <row r="15" spans="1:22" ht="20" customHeight="1" x14ac:dyDescent="0.25">
      <c r="A15" s="8" t="s">
        <v>54</v>
      </c>
      <c r="B15" s="3">
        <f t="array" ref="B15">C16</f>
        <v>-3012</v>
      </c>
      <c r="C15" s="3">
        <f t="array" ref="C15">B15-F15</f>
        <v>-3612</v>
      </c>
      <c r="D15" s="1">
        <f t="shared" ref="D15" si="8">B15+4413</f>
        <v>1401</v>
      </c>
      <c r="E15" s="1">
        <f t="shared" ref="E15" si="9">C15+4413</f>
        <v>801</v>
      </c>
      <c r="F15" s="1">
        <v>600</v>
      </c>
      <c r="G15" s="1">
        <v>600</v>
      </c>
      <c r="H15" s="1">
        <f t="array" ref="H15">I15-G15</f>
        <v>-5566</v>
      </c>
      <c r="I15" s="1">
        <f t="array" ref="I15">H16</f>
        <v>-4966</v>
      </c>
      <c r="J15" s="1">
        <f t="shared" ref="J15" si="10">H15+4413</f>
        <v>-1153</v>
      </c>
      <c r="K15" s="1">
        <f t="shared" ref="K15" si="11">I15+4413</f>
        <v>-553</v>
      </c>
      <c r="L15" s="7" t="s">
        <v>83</v>
      </c>
      <c r="R15" s="1" t="s">
        <v>202</v>
      </c>
      <c r="S15" s="1" t="s">
        <v>203</v>
      </c>
      <c r="T15" s="1" t="s">
        <v>204</v>
      </c>
      <c r="U15" s="1" t="s">
        <v>205</v>
      </c>
      <c r="V15" s="1" t="s">
        <v>206</v>
      </c>
    </row>
    <row r="16" spans="1:22" ht="20" customHeight="1" x14ac:dyDescent="0.25">
      <c r="A16" s="8" t="s">
        <v>52</v>
      </c>
      <c r="B16" s="3">
        <f t="array" ref="B16">C17</f>
        <v>-2492</v>
      </c>
      <c r="C16" s="3">
        <f t="array" ref="C16">B16-F16</f>
        <v>-3012</v>
      </c>
      <c r="D16" s="1">
        <f t="shared" ref="D16:D17" si="12">B16+4413</f>
        <v>1921</v>
      </c>
      <c r="E16" s="1">
        <f t="shared" ref="E16:E17" si="13">C16+4413</f>
        <v>1401</v>
      </c>
      <c r="F16" s="1">
        <v>520</v>
      </c>
      <c r="G16" s="1">
        <v>520</v>
      </c>
      <c r="H16" s="1">
        <f t="array" ref="H16">I16-G16</f>
        <v>-4966</v>
      </c>
      <c r="I16" s="1">
        <f t="array" ref="I16">H17</f>
        <v>-4446</v>
      </c>
      <c r="J16" s="1">
        <f t="shared" ref="J16:J17" si="14">H16+4413</f>
        <v>-553</v>
      </c>
      <c r="K16" s="1">
        <f t="shared" ref="K16:K17" si="15">I16+4413</f>
        <v>-33</v>
      </c>
      <c r="L16" s="7" t="s">
        <v>53</v>
      </c>
      <c r="R16" s="1" t="s">
        <v>208</v>
      </c>
      <c r="S16" s="1" t="s">
        <v>209</v>
      </c>
      <c r="T16" s="1" t="s">
        <v>210</v>
      </c>
      <c r="U16" s="1" t="s">
        <v>211</v>
      </c>
      <c r="V16" s="1" t="s">
        <v>212</v>
      </c>
    </row>
    <row r="17" spans="1:22" ht="20" customHeight="1" x14ac:dyDescent="0.25">
      <c r="A17" s="8" t="s">
        <v>51</v>
      </c>
      <c r="B17" s="3">
        <v>-2459</v>
      </c>
      <c r="C17" s="3">
        <f t="array" ref="C17">B17-F17</f>
        <v>-2492</v>
      </c>
      <c r="D17" s="1">
        <f t="shared" si="12"/>
        <v>1954</v>
      </c>
      <c r="E17" s="1">
        <f t="shared" si="13"/>
        <v>1921</v>
      </c>
      <c r="F17" s="1">
        <v>33</v>
      </c>
      <c r="G17" s="1">
        <v>33</v>
      </c>
      <c r="H17" s="1">
        <f t="array" ref="H17">I17-G17</f>
        <v>-4446</v>
      </c>
      <c r="I17" s="1">
        <f t="array" ref="I17">H18</f>
        <v>-4413</v>
      </c>
      <c r="J17" s="1">
        <f t="shared" si="14"/>
        <v>-33</v>
      </c>
      <c r="K17" s="1">
        <f t="shared" si="15"/>
        <v>0</v>
      </c>
      <c r="L17" s="7" t="s">
        <v>65</v>
      </c>
      <c r="R17" s="1" t="s">
        <v>214</v>
      </c>
      <c r="S17" s="1" t="s">
        <v>215</v>
      </c>
      <c r="T17" s="1" t="s">
        <v>216</v>
      </c>
      <c r="U17" s="1" t="s">
        <v>217</v>
      </c>
      <c r="V17" s="1" t="s">
        <v>218</v>
      </c>
    </row>
    <row r="18" spans="1:22" ht="20" customHeight="1" x14ac:dyDescent="0.25">
      <c r="A18" s="2" t="s">
        <v>12</v>
      </c>
      <c r="B18" s="3">
        <v>-2559</v>
      </c>
      <c r="C18" s="3">
        <v>-2459</v>
      </c>
      <c r="D18" s="1">
        <f>B18+4413</f>
        <v>1854</v>
      </c>
      <c r="E18" s="1">
        <f>C18+4413</f>
        <v>1954</v>
      </c>
      <c r="F18" s="1">
        <f t="array" ref="F18">C18-B18</f>
        <v>100</v>
      </c>
      <c r="G18" s="1">
        <v>100</v>
      </c>
      <c r="H18" s="1">
        <f t="array" ref="H18">I18-G18</f>
        <v>-4413</v>
      </c>
      <c r="I18" s="1">
        <f t="array" ref="I18">H19</f>
        <v>-4313</v>
      </c>
      <c r="J18" s="1">
        <f>H18+4413</f>
        <v>0</v>
      </c>
      <c r="K18" s="1">
        <f>I18+4413</f>
        <v>100</v>
      </c>
      <c r="L18" s="1" t="s">
        <v>13</v>
      </c>
      <c r="R18" s="1" t="s">
        <v>220</v>
      </c>
      <c r="S18" s="1" t="s">
        <v>221</v>
      </c>
      <c r="T18" s="1" t="s">
        <v>222</v>
      </c>
      <c r="U18" s="1" t="s">
        <v>223</v>
      </c>
      <c r="V18" s="1" t="s">
        <v>224</v>
      </c>
    </row>
    <row r="19" spans="1:22" ht="20" customHeight="1" x14ac:dyDescent="0.25">
      <c r="A19" s="2" t="s">
        <v>14</v>
      </c>
      <c r="B19" s="3">
        <v>-2459</v>
      </c>
      <c r="C19" s="3">
        <v>-2375</v>
      </c>
      <c r="D19" s="1">
        <f t="shared" ref="D19:D24" si="16">B19+4413</f>
        <v>1954</v>
      </c>
      <c r="E19" s="1">
        <f t="shared" ref="E19:E24" si="17">C19+4413</f>
        <v>2038</v>
      </c>
      <c r="F19" s="1">
        <f t="array" ref="F19">C19-B19</f>
        <v>84</v>
      </c>
      <c r="G19" s="1">
        <v>84</v>
      </c>
      <c r="H19" s="1">
        <f t="array" ref="H19">I19-G19</f>
        <v>-4313</v>
      </c>
      <c r="I19" s="1">
        <f t="array" ref="I19">H20</f>
        <v>-4229</v>
      </c>
      <c r="J19" s="1">
        <f t="shared" ref="J19:J24" si="18">H19+4413</f>
        <v>100</v>
      </c>
      <c r="K19" s="1">
        <f t="shared" ref="K19:K24" si="19">I19+4413</f>
        <v>184</v>
      </c>
      <c r="L19" s="7" t="s">
        <v>84</v>
      </c>
      <c r="R19" s="1" t="s">
        <v>226</v>
      </c>
      <c r="S19" s="1" t="s">
        <v>227</v>
      </c>
      <c r="T19" s="1" t="s">
        <v>228</v>
      </c>
      <c r="U19" s="1" t="s">
        <v>229</v>
      </c>
      <c r="V19" s="1" t="s">
        <v>230</v>
      </c>
    </row>
    <row r="20" spans="1:22" ht="20" customHeight="1" x14ac:dyDescent="0.25">
      <c r="A20" s="2" t="s">
        <v>15</v>
      </c>
      <c r="B20" s="3">
        <v>-2375</v>
      </c>
      <c r="C20" s="3">
        <v>-2297</v>
      </c>
      <c r="D20" s="1">
        <f t="shared" si="16"/>
        <v>2038</v>
      </c>
      <c r="E20" s="1">
        <f t="shared" si="17"/>
        <v>2116</v>
      </c>
      <c r="F20" s="1">
        <f t="array" ref="F20">C20-B20</f>
        <v>78</v>
      </c>
      <c r="G20" s="1">
        <v>78</v>
      </c>
      <c r="H20" s="1">
        <f t="array" ref="H20">I20-G20</f>
        <v>-4229</v>
      </c>
      <c r="I20" s="1">
        <f t="array" ref="I20">H21</f>
        <v>-4151</v>
      </c>
      <c r="J20" s="1">
        <f t="shared" si="18"/>
        <v>184</v>
      </c>
      <c r="K20" s="1">
        <f t="shared" si="19"/>
        <v>262</v>
      </c>
      <c r="R20" s="1" t="s">
        <v>232</v>
      </c>
      <c r="S20" s="1" t="s">
        <v>233</v>
      </c>
      <c r="T20" s="1" t="s">
        <v>234</v>
      </c>
      <c r="U20" s="1" t="s">
        <v>235</v>
      </c>
      <c r="V20" s="1" t="s">
        <v>236</v>
      </c>
    </row>
    <row r="21" spans="1:22" ht="20" customHeight="1" x14ac:dyDescent="0.25">
      <c r="A21" s="2" t="s">
        <v>16</v>
      </c>
      <c r="B21" s="3">
        <v>-2297</v>
      </c>
      <c r="C21" s="3">
        <v>-2227</v>
      </c>
      <c r="D21" s="1">
        <f t="shared" si="16"/>
        <v>2116</v>
      </c>
      <c r="E21" s="1">
        <f t="shared" si="17"/>
        <v>2186</v>
      </c>
      <c r="F21" s="1">
        <f t="array" ref="F21">C21-B21</f>
        <v>70</v>
      </c>
      <c r="G21" s="1">
        <v>70</v>
      </c>
      <c r="H21" s="1">
        <f t="array" ref="H21">I21-G21</f>
        <v>-4151</v>
      </c>
      <c r="I21" s="1">
        <f t="array" ref="I21">H22</f>
        <v>-4081</v>
      </c>
      <c r="J21" s="1">
        <f t="shared" si="18"/>
        <v>262</v>
      </c>
      <c r="K21" s="1">
        <f t="shared" si="19"/>
        <v>332</v>
      </c>
      <c r="R21" s="1" t="s">
        <v>238</v>
      </c>
      <c r="S21" s="1" t="s">
        <v>239</v>
      </c>
      <c r="T21" s="1" t="s">
        <v>240</v>
      </c>
      <c r="U21" s="1" t="s">
        <v>241</v>
      </c>
      <c r="V21" s="1" t="s">
        <v>242</v>
      </c>
    </row>
    <row r="22" spans="1:22" ht="20" customHeight="1" x14ac:dyDescent="0.25">
      <c r="A22" s="2" t="s">
        <v>17</v>
      </c>
      <c r="B22" s="3">
        <v>-2227</v>
      </c>
      <c r="C22" s="3">
        <v>-2218</v>
      </c>
      <c r="D22" s="1">
        <f t="shared" si="16"/>
        <v>2186</v>
      </c>
      <c r="E22" s="1">
        <f t="shared" si="17"/>
        <v>2195</v>
      </c>
      <c r="F22" s="1">
        <f t="array" ref="F22">C22-B22</f>
        <v>9</v>
      </c>
      <c r="G22" s="1">
        <v>9</v>
      </c>
      <c r="H22" s="1">
        <f t="array" ref="H22">I22-G22</f>
        <v>-4081</v>
      </c>
      <c r="I22" s="1">
        <f t="array" ref="I22">H23</f>
        <v>-4072</v>
      </c>
      <c r="J22" s="1">
        <f t="shared" si="18"/>
        <v>332</v>
      </c>
      <c r="K22" s="1">
        <f t="shared" si="19"/>
        <v>341</v>
      </c>
      <c r="L22" s="1" t="s">
        <v>18</v>
      </c>
      <c r="R22" s="1" t="s">
        <v>244</v>
      </c>
      <c r="S22" s="1" t="s">
        <v>245</v>
      </c>
      <c r="T22" s="1" t="s">
        <v>246</v>
      </c>
      <c r="U22" s="1" t="s">
        <v>247</v>
      </c>
      <c r="V22" s="1" t="s">
        <v>248</v>
      </c>
    </row>
    <row r="23" spans="1:22" ht="20" customHeight="1" x14ac:dyDescent="0.25">
      <c r="A23" s="2" t="s">
        <v>19</v>
      </c>
      <c r="B23" s="3">
        <v>-2218</v>
      </c>
      <c r="C23" s="3">
        <v>-2120</v>
      </c>
      <c r="D23" s="1">
        <f t="shared" si="16"/>
        <v>2195</v>
      </c>
      <c r="E23" s="1">
        <f t="shared" si="17"/>
        <v>2293</v>
      </c>
      <c r="F23" s="1">
        <f t="array" ref="F23">C23-B23</f>
        <v>98</v>
      </c>
      <c r="G23" s="1">
        <v>98</v>
      </c>
      <c r="H23" s="1">
        <f t="array" ref="H23">I23-G23</f>
        <v>-4072</v>
      </c>
      <c r="I23" s="1">
        <f t="array" ref="I23">H24</f>
        <v>-3974</v>
      </c>
      <c r="J23" s="1">
        <f t="shared" si="18"/>
        <v>341</v>
      </c>
      <c r="K23" s="1">
        <f t="shared" si="19"/>
        <v>439</v>
      </c>
      <c r="R23" s="1" t="s">
        <v>250</v>
      </c>
      <c r="S23" s="1" t="s">
        <v>251</v>
      </c>
      <c r="T23" s="1" t="s">
        <v>252</v>
      </c>
      <c r="U23" s="1" t="s">
        <v>253</v>
      </c>
      <c r="V23" s="1" t="s">
        <v>254</v>
      </c>
    </row>
    <row r="24" spans="1:22" ht="20" customHeight="1" x14ac:dyDescent="0.25">
      <c r="A24" s="2" t="s">
        <v>20</v>
      </c>
      <c r="B24" s="3">
        <v>-2120</v>
      </c>
      <c r="C24" s="3">
        <v>-2070</v>
      </c>
      <c r="D24" s="1">
        <f t="shared" si="16"/>
        <v>2293</v>
      </c>
      <c r="E24" s="1">
        <f t="shared" si="17"/>
        <v>2343</v>
      </c>
      <c r="F24" s="1">
        <f t="array" ref="F24">C24-B24</f>
        <v>50</v>
      </c>
      <c r="G24" s="1">
        <v>50</v>
      </c>
      <c r="H24" s="1">
        <f t="array" ref="H24">I24-G24</f>
        <v>-3974</v>
      </c>
      <c r="I24" s="1">
        <f t="array" ref="I24">H25</f>
        <v>-3924</v>
      </c>
      <c r="J24" s="1">
        <f t="shared" si="18"/>
        <v>439</v>
      </c>
      <c r="K24" s="1">
        <f t="shared" si="19"/>
        <v>489</v>
      </c>
      <c r="R24" s="1" t="s">
        <v>256</v>
      </c>
      <c r="S24" s="1" t="s">
        <v>257</v>
      </c>
      <c r="T24" s="1" t="s">
        <v>258</v>
      </c>
      <c r="U24" s="1" t="s">
        <v>259</v>
      </c>
      <c r="V24" s="1" t="s">
        <v>260</v>
      </c>
    </row>
    <row r="25" spans="1:22" ht="20" customHeight="1" x14ac:dyDescent="0.25">
      <c r="A25" s="5" t="s">
        <v>21</v>
      </c>
      <c r="B25" s="6">
        <v>-2070</v>
      </c>
      <c r="C25" s="6">
        <v>-1600</v>
      </c>
      <c r="D25" s="1">
        <f>B25+4413</f>
        <v>2343</v>
      </c>
      <c r="E25" s="1">
        <f>C25+4413</f>
        <v>2813</v>
      </c>
      <c r="F25" s="1">
        <f t="array" ref="F25">C25-B25</f>
        <v>470</v>
      </c>
      <c r="G25" s="1">
        <v>470</v>
      </c>
      <c r="H25" s="1">
        <f t="array" ref="H25">I25-G25</f>
        <v>-3924</v>
      </c>
      <c r="I25" s="1">
        <f t="array" ref="I25">H26</f>
        <v>-3454</v>
      </c>
      <c r="J25" s="1">
        <f t="shared" ref="J25:J43" si="20">H25+4413</f>
        <v>489</v>
      </c>
      <c r="K25" s="1">
        <f t="shared" ref="K25:K43" si="21">I25+4413</f>
        <v>959</v>
      </c>
      <c r="R25" s="1" t="s">
        <v>262</v>
      </c>
      <c r="S25" s="1" t="s">
        <v>263</v>
      </c>
      <c r="T25" s="1" t="s">
        <v>264</v>
      </c>
      <c r="U25" s="1" t="s">
        <v>265</v>
      </c>
      <c r="V25" s="1" t="s">
        <v>266</v>
      </c>
    </row>
    <row r="26" spans="1:22" ht="20" customHeight="1" x14ac:dyDescent="0.25">
      <c r="A26" s="5" t="s">
        <v>22</v>
      </c>
      <c r="B26" s="6">
        <v>-1600</v>
      </c>
      <c r="C26" s="6">
        <v>-1046</v>
      </c>
      <c r="D26" s="1">
        <f t="shared" ref="D26:D44" si="22">B26+4413</f>
        <v>2813</v>
      </c>
      <c r="E26" s="1">
        <f t="shared" ref="E26:E44" si="23">C26+4413</f>
        <v>3367</v>
      </c>
      <c r="F26" s="1">
        <f t="array" ref="F26">C26-B26</f>
        <v>554</v>
      </c>
      <c r="G26" s="1">
        <v>554</v>
      </c>
      <c r="H26" s="1">
        <f t="array" ref="H26">I26-G26</f>
        <v>-3454</v>
      </c>
      <c r="I26" s="1">
        <f t="array" ref="I26">H27</f>
        <v>-2900</v>
      </c>
      <c r="J26" s="1">
        <f t="shared" si="20"/>
        <v>959</v>
      </c>
      <c r="K26" s="1">
        <f t="shared" si="21"/>
        <v>1513</v>
      </c>
      <c r="R26" s="1" t="s">
        <v>268</v>
      </c>
      <c r="S26" s="1" t="s">
        <v>269</v>
      </c>
      <c r="T26" s="1" t="s">
        <v>270</v>
      </c>
      <c r="U26" s="1" t="s">
        <v>271</v>
      </c>
      <c r="V26" s="1" t="s">
        <v>272</v>
      </c>
    </row>
    <row r="27" spans="1:22" ht="20" customHeight="1" x14ac:dyDescent="0.25">
      <c r="A27" s="5" t="s">
        <v>23</v>
      </c>
      <c r="B27" s="6">
        <v>-1046</v>
      </c>
      <c r="C27" s="6">
        <v>-771</v>
      </c>
      <c r="D27" s="1">
        <f t="shared" si="22"/>
        <v>3367</v>
      </c>
      <c r="E27" s="1">
        <f t="shared" si="23"/>
        <v>3642</v>
      </c>
      <c r="F27" s="1">
        <f t="array" ref="F27">C27-B27</f>
        <v>275</v>
      </c>
      <c r="G27" s="1">
        <v>275</v>
      </c>
      <c r="H27" s="1">
        <f t="array" ref="H27">I27-G27</f>
        <v>-2900</v>
      </c>
      <c r="I27" s="1">
        <f t="array" ref="I27">H28</f>
        <v>-2625</v>
      </c>
      <c r="J27" s="1">
        <f t="shared" si="20"/>
        <v>1513</v>
      </c>
      <c r="K27" s="1">
        <f t="shared" si="21"/>
        <v>1788</v>
      </c>
      <c r="R27" s="1" t="s">
        <v>274</v>
      </c>
      <c r="S27" s="1" t="s">
        <v>275</v>
      </c>
      <c r="T27" s="1" t="s">
        <v>276</v>
      </c>
      <c r="U27" s="1" t="s">
        <v>277</v>
      </c>
      <c r="V27" s="1" t="s">
        <v>278</v>
      </c>
    </row>
    <row r="28" spans="1:22" ht="20" customHeight="1" x14ac:dyDescent="0.25">
      <c r="A28" s="5" t="s">
        <v>24</v>
      </c>
      <c r="B28" s="6">
        <v>-770</v>
      </c>
      <c r="C28" s="6">
        <v>-221</v>
      </c>
      <c r="D28" s="1">
        <f t="shared" si="22"/>
        <v>3643</v>
      </c>
      <c r="E28" s="1">
        <f t="shared" si="23"/>
        <v>4192</v>
      </c>
      <c r="F28" s="1">
        <f t="array" ref="F28">C28-B28</f>
        <v>549</v>
      </c>
      <c r="G28" s="1">
        <v>549</v>
      </c>
      <c r="H28" s="1">
        <f t="array" ref="H28">I28-G28</f>
        <v>-2625</v>
      </c>
      <c r="I28" s="1">
        <f t="array" ref="I28">H29</f>
        <v>-2076</v>
      </c>
      <c r="J28" s="1">
        <f t="shared" si="20"/>
        <v>1788</v>
      </c>
      <c r="K28" s="1">
        <f t="shared" si="21"/>
        <v>2337</v>
      </c>
      <c r="R28" s="1" t="s">
        <v>280</v>
      </c>
      <c r="S28" s="1" t="s">
        <v>281</v>
      </c>
      <c r="T28" s="1" t="s">
        <v>282</v>
      </c>
      <c r="U28" s="1" t="s">
        <v>283</v>
      </c>
      <c r="V28" s="1" t="s">
        <v>284</v>
      </c>
    </row>
    <row r="29" spans="1:22" ht="20" customHeight="1" x14ac:dyDescent="0.25">
      <c r="A29" s="5" t="s">
        <v>25</v>
      </c>
      <c r="B29" s="6">
        <v>-221</v>
      </c>
      <c r="C29" s="6">
        <v>-207</v>
      </c>
      <c r="D29" s="1">
        <f t="shared" si="22"/>
        <v>4192</v>
      </c>
      <c r="E29" s="1">
        <f t="shared" si="23"/>
        <v>4206</v>
      </c>
      <c r="F29" s="1">
        <f t="array" ref="F29">C29-B29</f>
        <v>14</v>
      </c>
      <c r="G29" s="1">
        <v>14</v>
      </c>
      <c r="H29" s="1">
        <f t="array" ref="H29">I29-G29</f>
        <v>-2076</v>
      </c>
      <c r="I29" s="1">
        <f t="array" ref="I29">H30</f>
        <v>-2062</v>
      </c>
      <c r="J29" s="1">
        <f t="shared" si="20"/>
        <v>2337</v>
      </c>
      <c r="K29" s="1">
        <f t="shared" si="21"/>
        <v>2351</v>
      </c>
      <c r="L29" s="7" t="s">
        <v>50</v>
      </c>
      <c r="R29" s="1" t="s">
        <v>286</v>
      </c>
      <c r="S29" s="1" t="s">
        <v>287</v>
      </c>
      <c r="T29" s="1" t="s">
        <v>288</v>
      </c>
      <c r="U29" s="1" t="s">
        <v>289</v>
      </c>
      <c r="V29" s="1" t="s">
        <v>290</v>
      </c>
    </row>
    <row r="30" spans="1:22" ht="20" customHeight="1" x14ac:dyDescent="0.25">
      <c r="A30" s="5" t="s">
        <v>26</v>
      </c>
      <c r="B30" s="6">
        <v>-202</v>
      </c>
      <c r="C30" s="6">
        <v>8</v>
      </c>
      <c r="D30" s="1">
        <f t="shared" si="22"/>
        <v>4211</v>
      </c>
      <c r="E30" s="1">
        <f t="shared" si="23"/>
        <v>4421</v>
      </c>
      <c r="F30" s="1">
        <f t="array" ref="F30">C30-B30</f>
        <v>210</v>
      </c>
      <c r="G30" s="1">
        <v>1184</v>
      </c>
      <c r="H30" s="1">
        <f t="array" ref="H30">I30-G30</f>
        <v>-2062</v>
      </c>
      <c r="I30" s="1">
        <f t="array" ref="I30">H31</f>
        <v>-878</v>
      </c>
      <c r="J30" s="1">
        <f t="shared" si="20"/>
        <v>2351</v>
      </c>
      <c r="K30" s="1">
        <f t="shared" si="21"/>
        <v>3535</v>
      </c>
      <c r="L30" s="1" t="s">
        <v>27</v>
      </c>
      <c r="R30" s="7" t="s">
        <v>372</v>
      </c>
      <c r="S30" s="1" t="s">
        <v>293</v>
      </c>
      <c r="T30" s="1" t="s">
        <v>294</v>
      </c>
      <c r="U30" s="1" t="s">
        <v>295</v>
      </c>
      <c r="V30" s="1" t="s">
        <v>296</v>
      </c>
    </row>
    <row r="31" spans="1:22" ht="20" customHeight="1" x14ac:dyDescent="0.25">
      <c r="A31" s="5" t="s">
        <v>28</v>
      </c>
      <c r="B31" s="6">
        <v>9</v>
      </c>
      <c r="C31" s="6">
        <v>23</v>
      </c>
      <c r="D31" s="1">
        <f t="shared" si="22"/>
        <v>4422</v>
      </c>
      <c r="E31" s="1">
        <f t="shared" si="23"/>
        <v>4436</v>
      </c>
      <c r="F31" s="1">
        <f t="array" ref="F31">C31-B31</f>
        <v>14</v>
      </c>
      <c r="G31" s="1">
        <v>14</v>
      </c>
      <c r="H31" s="1">
        <f t="array" ref="H31">I31-G31</f>
        <v>-878</v>
      </c>
      <c r="I31" s="1">
        <f t="array" ref="I31">H32</f>
        <v>-864</v>
      </c>
      <c r="J31" s="1">
        <f t="shared" si="20"/>
        <v>3535</v>
      </c>
      <c r="K31" s="1">
        <f t="shared" si="21"/>
        <v>3549</v>
      </c>
      <c r="L31" s="1" t="s">
        <v>29</v>
      </c>
      <c r="R31" s="1" t="s">
        <v>298</v>
      </c>
      <c r="S31" s="1" t="s">
        <v>299</v>
      </c>
      <c r="T31" s="1" t="s">
        <v>300</v>
      </c>
      <c r="U31" s="1" t="s">
        <v>301</v>
      </c>
      <c r="V31" s="1" t="s">
        <v>302</v>
      </c>
    </row>
    <row r="32" spans="1:22" ht="20" customHeight="1" x14ac:dyDescent="0.25">
      <c r="A32" s="5" t="s">
        <v>30</v>
      </c>
      <c r="B32" s="6">
        <v>25</v>
      </c>
      <c r="C32" s="6">
        <v>220</v>
      </c>
      <c r="D32" s="1">
        <f t="shared" si="22"/>
        <v>4438</v>
      </c>
      <c r="E32" s="1">
        <f t="shared" si="23"/>
        <v>4633</v>
      </c>
      <c r="F32" s="1">
        <f t="array" ref="F32">C32-B32</f>
        <v>195</v>
      </c>
      <c r="G32" s="1">
        <v>597</v>
      </c>
      <c r="H32" s="1">
        <f t="array" ref="H32">I32-G32</f>
        <v>-864</v>
      </c>
      <c r="I32" s="1">
        <f t="array" ref="I32">H33</f>
        <v>-267</v>
      </c>
      <c r="J32" s="1">
        <f t="shared" si="20"/>
        <v>3549</v>
      </c>
      <c r="K32" s="1">
        <f t="shared" si="21"/>
        <v>4146</v>
      </c>
      <c r="L32" s="1" t="s">
        <v>31</v>
      </c>
      <c r="R32" s="1" t="s">
        <v>304</v>
      </c>
      <c r="S32" s="1" t="s">
        <v>305</v>
      </c>
      <c r="T32" s="1" t="s">
        <v>306</v>
      </c>
      <c r="U32" s="1" t="s">
        <v>307</v>
      </c>
      <c r="V32" s="1" t="s">
        <v>308</v>
      </c>
    </row>
    <row r="33" spans="1:22" ht="20" customHeight="1" x14ac:dyDescent="0.25">
      <c r="A33" s="5" t="s">
        <v>32</v>
      </c>
      <c r="B33" s="6">
        <v>220</v>
      </c>
      <c r="C33" s="6">
        <v>280</v>
      </c>
      <c r="D33" s="1">
        <f t="shared" si="22"/>
        <v>4633</v>
      </c>
      <c r="E33" s="1">
        <f t="shared" si="23"/>
        <v>4693</v>
      </c>
      <c r="F33" s="1">
        <f t="array" ref="F33">C33-B33</f>
        <v>60</v>
      </c>
      <c r="G33" s="1">
        <v>60</v>
      </c>
      <c r="H33" s="1">
        <f t="array" ref="H33">I33-G33</f>
        <v>-267</v>
      </c>
      <c r="I33" s="1">
        <f t="array" ref="I33">H34</f>
        <v>-207</v>
      </c>
      <c r="J33" s="1">
        <f t="shared" si="20"/>
        <v>4146</v>
      </c>
      <c r="K33" s="1">
        <f t="shared" si="21"/>
        <v>4206</v>
      </c>
      <c r="R33" s="1" t="s">
        <v>310</v>
      </c>
      <c r="S33" s="1" t="s">
        <v>311</v>
      </c>
      <c r="T33" s="1" t="s">
        <v>312</v>
      </c>
      <c r="U33" s="1" t="s">
        <v>313</v>
      </c>
      <c r="V33" s="1" t="s">
        <v>314</v>
      </c>
    </row>
    <row r="34" spans="1:22" ht="20" customHeight="1" x14ac:dyDescent="0.25">
      <c r="A34" s="5" t="s">
        <v>33</v>
      </c>
      <c r="B34" s="6">
        <v>265</v>
      </c>
      <c r="C34" s="6">
        <v>316</v>
      </c>
      <c r="D34" s="1">
        <f t="shared" si="22"/>
        <v>4678</v>
      </c>
      <c r="E34" s="1">
        <f t="shared" si="23"/>
        <v>4729</v>
      </c>
      <c r="F34" s="1">
        <f t="array" ref="F34">C34-B34</f>
        <v>51</v>
      </c>
      <c r="G34" s="1">
        <v>51</v>
      </c>
      <c r="H34" s="1">
        <f t="array" ref="H34">I34-G34</f>
        <v>-207</v>
      </c>
      <c r="I34" s="1">
        <f t="array" ref="I34">H35</f>
        <v>-156</v>
      </c>
      <c r="J34" s="1">
        <f t="shared" si="20"/>
        <v>4206</v>
      </c>
      <c r="K34" s="1">
        <f t="shared" si="21"/>
        <v>4257</v>
      </c>
      <c r="R34" s="1" t="s">
        <v>316</v>
      </c>
      <c r="S34" s="1" t="s">
        <v>317</v>
      </c>
      <c r="T34" s="1" t="s">
        <v>318</v>
      </c>
      <c r="U34" s="1" t="s">
        <v>319</v>
      </c>
      <c r="V34" s="1" t="s">
        <v>320</v>
      </c>
    </row>
    <row r="35" spans="1:22" ht="20" customHeight="1" x14ac:dyDescent="0.25">
      <c r="A35" s="5" t="s">
        <v>34</v>
      </c>
      <c r="B35" s="6">
        <v>317</v>
      </c>
      <c r="C35" s="6">
        <v>420</v>
      </c>
      <c r="D35" s="1">
        <f t="shared" si="22"/>
        <v>4730</v>
      </c>
      <c r="E35" s="1">
        <f t="shared" si="23"/>
        <v>4833</v>
      </c>
      <c r="F35" s="1">
        <f t="array" ref="F35">C35-B35</f>
        <v>103</v>
      </c>
      <c r="G35" s="1">
        <v>103</v>
      </c>
      <c r="H35" s="1">
        <f t="array" ref="H35">I35-G35</f>
        <v>-156</v>
      </c>
      <c r="I35" s="1">
        <f t="array" ref="I35">H36</f>
        <v>-53</v>
      </c>
      <c r="J35" s="1">
        <f t="shared" si="20"/>
        <v>4257</v>
      </c>
      <c r="K35" s="1">
        <f t="shared" si="21"/>
        <v>4360</v>
      </c>
      <c r="R35" s="1" t="s">
        <v>322</v>
      </c>
      <c r="S35" s="1" t="s">
        <v>323</v>
      </c>
      <c r="T35" s="1" t="s">
        <v>324</v>
      </c>
      <c r="U35" s="1" t="s">
        <v>325</v>
      </c>
      <c r="V35" s="1" t="s">
        <v>326</v>
      </c>
    </row>
    <row r="36" spans="1:22" ht="20" customHeight="1" x14ac:dyDescent="0.25">
      <c r="A36" s="5" t="s">
        <v>35</v>
      </c>
      <c r="B36" s="6">
        <v>420</v>
      </c>
      <c r="C36" s="6">
        <v>589</v>
      </c>
      <c r="D36" s="1">
        <f t="shared" si="22"/>
        <v>4833</v>
      </c>
      <c r="E36" s="1">
        <f t="shared" si="23"/>
        <v>5002</v>
      </c>
      <c r="F36" s="1">
        <f t="array" ref="F36">C36-B36</f>
        <v>169</v>
      </c>
      <c r="G36" s="1">
        <v>169</v>
      </c>
      <c r="H36" s="1">
        <f t="array" ref="H36">I36-G36</f>
        <v>-53</v>
      </c>
      <c r="I36" s="1">
        <f t="array" ref="I36">H37</f>
        <v>116</v>
      </c>
      <c r="J36" s="1">
        <f t="shared" si="20"/>
        <v>4360</v>
      </c>
      <c r="K36" s="1">
        <f t="shared" si="21"/>
        <v>4529</v>
      </c>
      <c r="R36" s="1" t="s">
        <v>328</v>
      </c>
      <c r="S36" s="1" t="s">
        <v>329</v>
      </c>
      <c r="T36" s="1" t="s">
        <v>330</v>
      </c>
      <c r="U36" s="1" t="s">
        <v>331</v>
      </c>
      <c r="V36" s="1" t="s">
        <v>332</v>
      </c>
    </row>
    <row r="37" spans="1:22" ht="20" customHeight="1" x14ac:dyDescent="0.25">
      <c r="A37" s="5" t="s">
        <v>36</v>
      </c>
      <c r="B37" s="6">
        <v>581</v>
      </c>
      <c r="C37" s="6">
        <v>618</v>
      </c>
      <c r="D37" s="1">
        <f t="shared" si="22"/>
        <v>4994</v>
      </c>
      <c r="E37" s="1">
        <f t="shared" si="23"/>
        <v>5031</v>
      </c>
      <c r="F37" s="1">
        <f t="array" ref="F37">C37-B37</f>
        <v>37</v>
      </c>
      <c r="G37" s="1">
        <v>0</v>
      </c>
      <c r="H37" s="1">
        <f t="array" ref="H37">I37-G37</f>
        <v>116</v>
      </c>
      <c r="I37" s="1">
        <f t="array" ref="I37">H38</f>
        <v>116</v>
      </c>
      <c r="J37" s="1">
        <f t="shared" si="20"/>
        <v>4529</v>
      </c>
      <c r="K37" s="1">
        <f t="shared" si="21"/>
        <v>4529</v>
      </c>
      <c r="L37" s="1" t="s">
        <v>37</v>
      </c>
      <c r="R37" s="1" t="s">
        <v>334</v>
      </c>
      <c r="S37" s="1" t="s">
        <v>335</v>
      </c>
      <c r="T37" s="1" t="s">
        <v>336</v>
      </c>
    </row>
    <row r="38" spans="1:22" ht="20" customHeight="1" x14ac:dyDescent="0.25">
      <c r="A38" s="5" t="s">
        <v>38</v>
      </c>
      <c r="B38" s="6">
        <v>618</v>
      </c>
      <c r="C38" s="6">
        <v>907</v>
      </c>
      <c r="D38" s="1">
        <f t="shared" si="22"/>
        <v>5031</v>
      </c>
      <c r="E38" s="1">
        <f t="shared" si="23"/>
        <v>5320</v>
      </c>
      <c r="F38" s="1">
        <f t="array" ref="F38">C38-B38</f>
        <v>289</v>
      </c>
      <c r="G38" s="1">
        <v>0</v>
      </c>
      <c r="H38" s="1">
        <f t="array" ref="H38">I38-G38</f>
        <v>116</v>
      </c>
      <c r="I38" s="1">
        <f t="array" ref="I38">H39</f>
        <v>116</v>
      </c>
      <c r="J38" s="1">
        <f t="shared" si="20"/>
        <v>4529</v>
      </c>
      <c r="K38" s="1">
        <f t="shared" si="21"/>
        <v>4529</v>
      </c>
      <c r="L38" s="1" t="s">
        <v>39</v>
      </c>
      <c r="R38" s="1" t="s">
        <v>338</v>
      </c>
      <c r="S38" s="1" t="s">
        <v>339</v>
      </c>
      <c r="T38" s="1" t="s">
        <v>340</v>
      </c>
      <c r="U38" s="1" t="s">
        <v>341</v>
      </c>
      <c r="V38" s="1" t="s">
        <v>342</v>
      </c>
    </row>
    <row r="39" spans="1:22" ht="20" customHeight="1" x14ac:dyDescent="0.25">
      <c r="A39" s="5" t="s">
        <v>40</v>
      </c>
      <c r="B39" s="6">
        <v>907</v>
      </c>
      <c r="C39" s="6">
        <v>960</v>
      </c>
      <c r="D39" s="1">
        <f t="shared" si="22"/>
        <v>5320</v>
      </c>
      <c r="E39" s="1">
        <f t="shared" si="23"/>
        <v>5373</v>
      </c>
      <c r="F39" s="1">
        <f t="array" ref="F39">C39-B39</f>
        <v>53</v>
      </c>
      <c r="G39" s="1">
        <v>53</v>
      </c>
      <c r="H39" s="1">
        <f t="array" ref="H39">I39-G39</f>
        <v>116</v>
      </c>
      <c r="I39" s="1">
        <f t="array" ref="I39">H40</f>
        <v>169</v>
      </c>
      <c r="J39" s="1">
        <f t="shared" si="20"/>
        <v>4529</v>
      </c>
      <c r="K39" s="1">
        <f t="shared" si="21"/>
        <v>4582</v>
      </c>
      <c r="R39" s="1" t="s">
        <v>344</v>
      </c>
      <c r="S39" s="1" t="s">
        <v>345</v>
      </c>
      <c r="T39" s="1" t="s">
        <v>346</v>
      </c>
      <c r="U39" s="1" t="s">
        <v>347</v>
      </c>
      <c r="V39" s="1" t="s">
        <v>348</v>
      </c>
    </row>
    <row r="40" spans="1:22" ht="20" customHeight="1" x14ac:dyDescent="0.25">
      <c r="A40" s="5" t="s">
        <v>41</v>
      </c>
      <c r="B40" s="6">
        <v>960</v>
      </c>
      <c r="C40" s="6">
        <v>1127</v>
      </c>
      <c r="D40" s="1">
        <f t="shared" si="22"/>
        <v>5373</v>
      </c>
      <c r="E40" s="1">
        <f t="shared" si="23"/>
        <v>5540</v>
      </c>
      <c r="F40" s="1">
        <f t="array" ref="F40">C40-B40</f>
        <v>167</v>
      </c>
      <c r="G40" s="1">
        <v>1100</v>
      </c>
      <c r="H40" s="1">
        <f t="array" ref="H40">I40-G40</f>
        <v>169</v>
      </c>
      <c r="I40" s="1">
        <f t="array" ref="I40">H41</f>
        <v>1269</v>
      </c>
      <c r="J40" s="1">
        <f t="shared" si="20"/>
        <v>4582</v>
      </c>
      <c r="K40" s="1">
        <f t="shared" si="21"/>
        <v>5682</v>
      </c>
      <c r="L40" s="1" t="s">
        <v>42</v>
      </c>
      <c r="R40" s="1" t="s">
        <v>350</v>
      </c>
      <c r="S40" s="1" t="s">
        <v>351</v>
      </c>
      <c r="T40" s="1" t="s">
        <v>352</v>
      </c>
      <c r="U40" s="1" t="s">
        <v>353</v>
      </c>
      <c r="V40" s="1" t="s">
        <v>354</v>
      </c>
    </row>
    <row r="41" spans="1:22" ht="20" customHeight="1" x14ac:dyDescent="0.25">
      <c r="A41" s="5" t="s">
        <v>43</v>
      </c>
      <c r="B41" s="6">
        <v>1127</v>
      </c>
      <c r="C41" s="6">
        <v>1279</v>
      </c>
      <c r="D41" s="1">
        <f t="shared" si="22"/>
        <v>5540</v>
      </c>
      <c r="E41" s="1">
        <f t="shared" si="23"/>
        <v>5692</v>
      </c>
      <c r="F41" s="1">
        <f t="array" ref="F41">C41-B41</f>
        <v>152</v>
      </c>
      <c r="G41" s="1">
        <v>0</v>
      </c>
      <c r="H41" s="1">
        <f t="array" ref="H41">I41-G41</f>
        <v>1269</v>
      </c>
      <c r="I41" s="1">
        <f t="array" ref="I41">H42</f>
        <v>1269</v>
      </c>
      <c r="J41" s="1">
        <f t="shared" si="20"/>
        <v>5682</v>
      </c>
      <c r="K41" s="1">
        <f t="shared" si="21"/>
        <v>5682</v>
      </c>
      <c r="R41" s="1" t="s">
        <v>355</v>
      </c>
      <c r="S41" s="1" t="s">
        <v>356</v>
      </c>
      <c r="T41" s="1" t="s">
        <v>357</v>
      </c>
      <c r="U41" s="1" t="s">
        <v>358</v>
      </c>
      <c r="V41" s="1" t="s">
        <v>359</v>
      </c>
    </row>
    <row r="42" spans="1:22" ht="20" customHeight="1" x14ac:dyDescent="0.25">
      <c r="A42" s="5" t="s">
        <v>44</v>
      </c>
      <c r="B42" s="6">
        <v>1271</v>
      </c>
      <c r="C42" s="6">
        <v>1368</v>
      </c>
      <c r="D42" s="1">
        <f t="shared" si="22"/>
        <v>5684</v>
      </c>
      <c r="E42" s="1">
        <f t="shared" si="23"/>
        <v>5781</v>
      </c>
      <c r="F42" s="1">
        <f t="array" ref="F42">C42-B42</f>
        <v>97</v>
      </c>
      <c r="G42" s="1">
        <v>0</v>
      </c>
      <c r="H42" s="1">
        <f t="array" ref="H42">I42-G42</f>
        <v>1269</v>
      </c>
      <c r="I42" s="1">
        <f t="array" ref="I42">H43</f>
        <v>1269</v>
      </c>
      <c r="J42" s="1">
        <f t="shared" si="20"/>
        <v>5682</v>
      </c>
      <c r="K42" s="1">
        <f t="shared" si="21"/>
        <v>5682</v>
      </c>
      <c r="L42" s="1" t="s">
        <v>45</v>
      </c>
      <c r="R42" s="1" t="s">
        <v>361</v>
      </c>
      <c r="S42" s="1" t="s">
        <v>362</v>
      </c>
      <c r="T42" s="1" t="s">
        <v>363</v>
      </c>
      <c r="U42" s="1" t="s">
        <v>364</v>
      </c>
    </row>
    <row r="43" spans="1:22" ht="20" customHeight="1" x14ac:dyDescent="0.25">
      <c r="A43" s="5" t="s">
        <v>46</v>
      </c>
      <c r="B43" s="6">
        <v>1368</v>
      </c>
      <c r="C43" s="6">
        <v>1644</v>
      </c>
      <c r="D43" s="1">
        <f t="shared" si="22"/>
        <v>5781</v>
      </c>
      <c r="E43" s="1">
        <f t="shared" si="23"/>
        <v>6057</v>
      </c>
      <c r="F43" s="1">
        <f t="array" ref="F43">C43-B43</f>
        <v>276</v>
      </c>
      <c r="G43" s="1">
        <v>578</v>
      </c>
      <c r="H43" s="1">
        <f t="array" ref="H43">I43-G43</f>
        <v>1269</v>
      </c>
      <c r="I43" s="1">
        <f t="array" ref="I43">H44</f>
        <v>1847</v>
      </c>
      <c r="J43" s="1">
        <f t="shared" si="20"/>
        <v>5682</v>
      </c>
      <c r="K43" s="1">
        <f t="shared" si="21"/>
        <v>6260</v>
      </c>
      <c r="L43" s="1" t="s">
        <v>47</v>
      </c>
      <c r="R43" s="1" t="s">
        <v>367</v>
      </c>
      <c r="S43" s="1" t="s">
        <v>368</v>
      </c>
      <c r="T43" s="1" t="s">
        <v>369</v>
      </c>
      <c r="U43" s="1" t="s">
        <v>370</v>
      </c>
      <c r="V43" s="1" t="s">
        <v>371</v>
      </c>
    </row>
    <row r="44" spans="1:22" ht="20" customHeight="1" x14ac:dyDescent="0.25">
      <c r="A44" s="5" t="s">
        <v>48</v>
      </c>
      <c r="B44" s="6">
        <v>1644</v>
      </c>
      <c r="C44" s="6">
        <v>1912</v>
      </c>
      <c r="D44" s="1">
        <f t="shared" si="22"/>
        <v>6057</v>
      </c>
      <c r="E44" s="1">
        <f t="shared" si="23"/>
        <v>6325</v>
      </c>
      <c r="F44" s="1">
        <f t="array" ref="F44">C44-B44</f>
        <v>268</v>
      </c>
      <c r="G44" s="1">
        <v>65</v>
      </c>
      <c r="H44" s="1">
        <f t="array" ref="H44">I44-G44</f>
        <v>1847</v>
      </c>
      <c r="I44" s="1">
        <v>1912</v>
      </c>
      <c r="J44" s="1">
        <f>H44+4413</f>
        <v>6260</v>
      </c>
      <c r="K44" s="1">
        <f>I44+4413</f>
        <v>6325</v>
      </c>
      <c r="L44" s="1" t="s">
        <v>49</v>
      </c>
    </row>
  </sheetData>
  <mergeCells count="2">
    <mergeCell ref="M1:Q1"/>
    <mergeCell ref="R1:V1"/>
  </mergeCells>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3523-8A88-4FA8-8AD8-9CEC8BA3DC9C}">
  <dimension ref="A1:B22"/>
  <sheetViews>
    <sheetView topLeftCell="A16" workbookViewId="0">
      <selection activeCell="A23" sqref="A23"/>
    </sheetView>
  </sheetViews>
  <sheetFormatPr defaultRowHeight="14" x14ac:dyDescent="0.25"/>
  <cols>
    <col min="1" max="1" width="6.26953125" customWidth="1"/>
    <col min="2" max="2" width="84.54296875" customWidth="1"/>
  </cols>
  <sheetData>
    <row r="1" spans="1:2" x14ac:dyDescent="0.25">
      <c r="A1" s="9" t="s">
        <v>85</v>
      </c>
    </row>
    <row r="2" spans="1:2" x14ac:dyDescent="0.25">
      <c r="A2" s="9" t="s">
        <v>86</v>
      </c>
      <c r="B2" s="9" t="s">
        <v>87</v>
      </c>
    </row>
    <row r="3" spans="1:2" x14ac:dyDescent="0.25">
      <c r="A3">
        <v>1</v>
      </c>
      <c r="B3" s="9" t="s">
        <v>91</v>
      </c>
    </row>
    <row r="4" spans="1:2" x14ac:dyDescent="0.25">
      <c r="A4">
        <v>2</v>
      </c>
      <c r="B4" s="9" t="s">
        <v>94</v>
      </c>
    </row>
    <row r="5" spans="1:2" x14ac:dyDescent="0.25">
      <c r="A5">
        <v>3</v>
      </c>
      <c r="B5" s="9" t="s">
        <v>97</v>
      </c>
    </row>
    <row r="6" spans="1:2" x14ac:dyDescent="0.25">
      <c r="A6">
        <v>4</v>
      </c>
      <c r="B6" s="9" t="s">
        <v>98</v>
      </c>
    </row>
    <row r="7" spans="1:2" x14ac:dyDescent="0.25">
      <c r="A7">
        <v>5</v>
      </c>
      <c r="B7" s="9" t="s">
        <v>99</v>
      </c>
    </row>
    <row r="8" spans="1:2" x14ac:dyDescent="0.25">
      <c r="A8">
        <v>6</v>
      </c>
      <c r="B8" s="9" t="s">
        <v>100</v>
      </c>
    </row>
    <row r="9" spans="1:2" x14ac:dyDescent="0.25">
      <c r="A9">
        <v>7</v>
      </c>
      <c r="B9" s="9" t="s">
        <v>101</v>
      </c>
    </row>
    <row r="10" spans="1:2" x14ac:dyDescent="0.25">
      <c r="A10">
        <v>8</v>
      </c>
      <c r="B10" s="9" t="s">
        <v>102</v>
      </c>
    </row>
    <row r="11" spans="1:2" x14ac:dyDescent="0.25">
      <c r="A11">
        <v>9</v>
      </c>
      <c r="B11" s="9" t="s">
        <v>103</v>
      </c>
    </row>
    <row r="12" spans="1:2" x14ac:dyDescent="0.25">
      <c r="A12">
        <v>10</v>
      </c>
      <c r="B12" s="9" t="s">
        <v>104</v>
      </c>
    </row>
    <row r="13" spans="1:2" x14ac:dyDescent="0.25">
      <c r="A13">
        <v>11</v>
      </c>
      <c r="B13" s="9" t="s">
        <v>105</v>
      </c>
    </row>
    <row r="14" spans="1:2" x14ac:dyDescent="0.25">
      <c r="A14">
        <v>12</v>
      </c>
      <c r="B14" s="9" t="s">
        <v>106</v>
      </c>
    </row>
    <row r="15" spans="1:2" x14ac:dyDescent="0.25">
      <c r="A15">
        <v>13</v>
      </c>
      <c r="B15" s="9" t="s">
        <v>107</v>
      </c>
    </row>
    <row r="16" spans="1:2" x14ac:dyDescent="0.25">
      <c r="A16">
        <v>14</v>
      </c>
      <c r="B16" s="9" t="s">
        <v>108</v>
      </c>
    </row>
    <row r="17" spans="1:2" x14ac:dyDescent="0.25">
      <c r="A17">
        <v>15</v>
      </c>
      <c r="B17" s="9" t="s">
        <v>109</v>
      </c>
    </row>
    <row r="18" spans="1:2" x14ac:dyDescent="0.25">
      <c r="A18">
        <v>16</v>
      </c>
      <c r="B18" s="9" t="s">
        <v>112</v>
      </c>
    </row>
    <row r="19" spans="1:2" x14ac:dyDescent="0.25">
      <c r="A19">
        <v>17</v>
      </c>
      <c r="B19" s="9" t="s">
        <v>113</v>
      </c>
    </row>
    <row r="20" spans="1:2" x14ac:dyDescent="0.25">
      <c r="A20">
        <v>18</v>
      </c>
      <c r="B20" s="9" t="s">
        <v>114</v>
      </c>
    </row>
    <row r="21" spans="1:2" x14ac:dyDescent="0.25">
      <c r="A21">
        <v>19</v>
      </c>
      <c r="B21" s="9" t="s">
        <v>115</v>
      </c>
    </row>
    <row r="22" spans="1:2" x14ac:dyDescent="0.25">
      <c r="A22">
        <v>20</v>
      </c>
      <c r="B22" s="9" t="s">
        <v>116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0CE6-07FC-4E34-B886-D2C08CA4BB15}">
  <dimension ref="A1:C5"/>
  <sheetViews>
    <sheetView workbookViewId="0">
      <selection activeCell="A6" sqref="A6"/>
    </sheetView>
  </sheetViews>
  <sheetFormatPr defaultRowHeight="14" x14ac:dyDescent="0.25"/>
  <cols>
    <col min="1" max="1" width="5.7265625" customWidth="1"/>
    <col min="2" max="2" width="52.90625" customWidth="1"/>
    <col min="3" max="3" width="57.7265625" customWidth="1"/>
  </cols>
  <sheetData>
    <row r="1" spans="1:3" x14ac:dyDescent="0.25">
      <c r="A1" s="9" t="s">
        <v>88</v>
      </c>
    </row>
    <row r="2" spans="1:3" x14ac:dyDescent="0.25">
      <c r="A2" s="9" t="s">
        <v>86</v>
      </c>
      <c r="B2" s="9" t="s">
        <v>89</v>
      </c>
      <c r="C2" s="9" t="s">
        <v>90</v>
      </c>
    </row>
    <row r="3" spans="1:3" x14ac:dyDescent="0.25">
      <c r="A3">
        <v>1</v>
      </c>
      <c r="B3" s="9" t="s">
        <v>92</v>
      </c>
      <c r="C3" s="9" t="s">
        <v>93</v>
      </c>
    </row>
    <row r="4" spans="1:3" x14ac:dyDescent="0.25">
      <c r="A4">
        <v>2</v>
      </c>
      <c r="B4" s="9" t="s">
        <v>95</v>
      </c>
      <c r="C4" s="9" t="s">
        <v>96</v>
      </c>
    </row>
    <row r="5" spans="1:3" x14ac:dyDescent="0.25">
      <c r="A5">
        <v>3</v>
      </c>
      <c r="B5" s="9" t="s">
        <v>110</v>
      </c>
      <c r="C5" s="9" t="s">
        <v>111</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970B-D0B7-4172-9BDF-6B6D3315D629}">
  <dimension ref="A1:F43"/>
  <sheetViews>
    <sheetView topLeftCell="A24" workbookViewId="0">
      <selection activeCell="B2" sqref="B2:F43"/>
    </sheetView>
  </sheetViews>
  <sheetFormatPr defaultRowHeight="14" x14ac:dyDescent="0.25"/>
  <cols>
    <col min="1" max="1" width="13.81640625" customWidth="1"/>
  </cols>
  <sheetData>
    <row r="1" spans="1:6" x14ac:dyDescent="0.25">
      <c r="A1" t="s">
        <v>117</v>
      </c>
      <c r="B1" t="s">
        <v>118</v>
      </c>
      <c r="C1" t="s">
        <v>119</v>
      </c>
      <c r="D1" t="s">
        <v>120</v>
      </c>
      <c r="E1" t="s">
        <v>121</v>
      </c>
      <c r="F1" t="s">
        <v>122</v>
      </c>
    </row>
    <row r="2" spans="1:6" x14ac:dyDescent="0.25">
      <c r="A2" t="s">
        <v>123</v>
      </c>
      <c r="B2" t="s">
        <v>124</v>
      </c>
      <c r="C2" t="s">
        <v>125</v>
      </c>
      <c r="D2" t="s">
        <v>126</v>
      </c>
      <c r="E2" t="s">
        <v>127</v>
      </c>
      <c r="F2" t="s">
        <v>128</v>
      </c>
    </row>
    <row r="3" spans="1:6" x14ac:dyDescent="0.25">
      <c r="A3" t="s">
        <v>129</v>
      </c>
      <c r="B3" t="s">
        <v>130</v>
      </c>
      <c r="C3" t="s">
        <v>131</v>
      </c>
      <c r="D3" t="s">
        <v>132</v>
      </c>
      <c r="E3" t="s">
        <v>133</v>
      </c>
      <c r="F3" t="s">
        <v>134</v>
      </c>
    </row>
    <row r="4" spans="1:6" x14ac:dyDescent="0.25">
      <c r="A4" t="s">
        <v>135</v>
      </c>
      <c r="B4" t="s">
        <v>136</v>
      </c>
      <c r="C4" t="s">
        <v>137</v>
      </c>
      <c r="D4" t="s">
        <v>138</v>
      </c>
      <c r="E4" t="s">
        <v>139</v>
      </c>
      <c r="F4" t="s">
        <v>140</v>
      </c>
    </row>
    <row r="5" spans="1:6" x14ac:dyDescent="0.25">
      <c r="A5" t="s">
        <v>141</v>
      </c>
      <c r="B5" t="s">
        <v>142</v>
      </c>
      <c r="C5" t="s">
        <v>143</v>
      </c>
      <c r="D5" t="s">
        <v>144</v>
      </c>
      <c r="E5" t="s">
        <v>145</v>
      </c>
      <c r="F5" t="s">
        <v>146</v>
      </c>
    </row>
    <row r="6" spans="1:6" x14ac:dyDescent="0.25">
      <c r="A6" t="s">
        <v>147</v>
      </c>
      <c r="B6" t="s">
        <v>148</v>
      </c>
      <c r="C6" t="s">
        <v>149</v>
      </c>
      <c r="D6" t="s">
        <v>150</v>
      </c>
      <c r="E6" t="s">
        <v>151</v>
      </c>
      <c r="F6" t="s">
        <v>152</v>
      </c>
    </row>
    <row r="7" spans="1:6" x14ac:dyDescent="0.25">
      <c r="A7" t="s">
        <v>153</v>
      </c>
      <c r="B7" t="s">
        <v>154</v>
      </c>
      <c r="C7" t="s">
        <v>155</v>
      </c>
      <c r="D7" t="s">
        <v>156</v>
      </c>
      <c r="E7" t="s">
        <v>157</v>
      </c>
      <c r="F7" t="s">
        <v>158</v>
      </c>
    </row>
    <row r="8" spans="1:6" x14ac:dyDescent="0.25">
      <c r="A8" t="s">
        <v>159</v>
      </c>
      <c r="B8" t="s">
        <v>160</v>
      </c>
      <c r="C8" t="s">
        <v>161</v>
      </c>
      <c r="D8" t="s">
        <v>162</v>
      </c>
      <c r="E8" t="s">
        <v>163</v>
      </c>
      <c r="F8" t="s">
        <v>164</v>
      </c>
    </row>
    <row r="9" spans="1:6" x14ac:dyDescent="0.25">
      <c r="A9" t="s">
        <v>165</v>
      </c>
      <c r="B9" t="s">
        <v>166</v>
      </c>
      <c r="C9" t="s">
        <v>167</v>
      </c>
      <c r="D9" t="s">
        <v>168</v>
      </c>
      <c r="E9" t="s">
        <v>169</v>
      </c>
      <c r="F9" t="s">
        <v>170</v>
      </c>
    </row>
    <row r="10" spans="1:6" x14ac:dyDescent="0.25">
      <c r="A10" t="s">
        <v>171</v>
      </c>
      <c r="B10" t="s">
        <v>172</v>
      </c>
      <c r="C10" t="s">
        <v>173</v>
      </c>
      <c r="D10" t="s">
        <v>174</v>
      </c>
      <c r="E10" t="s">
        <v>175</v>
      </c>
      <c r="F10" t="s">
        <v>176</v>
      </c>
    </row>
    <row r="11" spans="1:6" x14ac:dyDescent="0.25">
      <c r="A11" t="s">
        <v>177</v>
      </c>
      <c r="B11" t="s">
        <v>178</v>
      </c>
      <c r="C11" t="s">
        <v>179</v>
      </c>
      <c r="D11" t="s">
        <v>180</v>
      </c>
      <c r="E11" t="s">
        <v>181</v>
      </c>
      <c r="F11" t="s">
        <v>182</v>
      </c>
    </row>
    <row r="12" spans="1:6" x14ac:dyDescent="0.25">
      <c r="A12" t="s">
        <v>183</v>
      </c>
      <c r="B12" t="s">
        <v>184</v>
      </c>
      <c r="C12" t="s">
        <v>185</v>
      </c>
      <c r="D12" t="s">
        <v>186</v>
      </c>
      <c r="E12" t="s">
        <v>187</v>
      </c>
      <c r="F12" t="s">
        <v>188</v>
      </c>
    </row>
    <row r="13" spans="1:6" x14ac:dyDescent="0.25">
      <c r="A13" t="s">
        <v>189</v>
      </c>
      <c r="B13" t="s">
        <v>190</v>
      </c>
      <c r="C13" t="s">
        <v>191</v>
      </c>
      <c r="D13" t="s">
        <v>192</v>
      </c>
      <c r="E13" t="s">
        <v>193</v>
      </c>
      <c r="F13" t="s">
        <v>194</v>
      </c>
    </row>
    <row r="14" spans="1:6" x14ac:dyDescent="0.25">
      <c r="A14" t="s">
        <v>195</v>
      </c>
      <c r="B14" t="s">
        <v>196</v>
      </c>
      <c r="C14" t="s">
        <v>197</v>
      </c>
      <c r="D14" t="s">
        <v>198</v>
      </c>
      <c r="E14" t="s">
        <v>199</v>
      </c>
      <c r="F14" t="s">
        <v>200</v>
      </c>
    </row>
    <row r="15" spans="1:6" x14ac:dyDescent="0.25">
      <c r="A15" t="s">
        <v>201</v>
      </c>
      <c r="B15" t="s">
        <v>202</v>
      </c>
      <c r="C15" t="s">
        <v>203</v>
      </c>
      <c r="D15" t="s">
        <v>204</v>
      </c>
      <c r="E15" t="s">
        <v>205</v>
      </c>
      <c r="F15" t="s">
        <v>206</v>
      </c>
    </row>
    <row r="16" spans="1:6" x14ac:dyDescent="0.25">
      <c r="A16" t="s">
        <v>207</v>
      </c>
      <c r="B16" t="s">
        <v>208</v>
      </c>
      <c r="C16" t="s">
        <v>209</v>
      </c>
      <c r="D16" t="s">
        <v>210</v>
      </c>
      <c r="E16" t="s">
        <v>211</v>
      </c>
      <c r="F16" t="s">
        <v>212</v>
      </c>
    </row>
    <row r="17" spans="1:6" x14ac:dyDescent="0.25">
      <c r="A17" t="s">
        <v>213</v>
      </c>
      <c r="B17" t="s">
        <v>214</v>
      </c>
      <c r="C17" t="s">
        <v>215</v>
      </c>
      <c r="D17" t="s">
        <v>216</v>
      </c>
      <c r="E17" t="s">
        <v>217</v>
      </c>
      <c r="F17" t="s">
        <v>218</v>
      </c>
    </row>
    <row r="18" spans="1:6" x14ac:dyDescent="0.25">
      <c r="A18" t="s">
        <v>219</v>
      </c>
      <c r="B18" t="s">
        <v>220</v>
      </c>
      <c r="C18" t="s">
        <v>221</v>
      </c>
      <c r="D18" t="s">
        <v>222</v>
      </c>
      <c r="E18" t="s">
        <v>223</v>
      </c>
      <c r="F18" t="s">
        <v>224</v>
      </c>
    </row>
    <row r="19" spans="1:6" x14ac:dyDescent="0.25">
      <c r="A19" t="s">
        <v>225</v>
      </c>
      <c r="B19" t="s">
        <v>226</v>
      </c>
      <c r="C19" t="s">
        <v>227</v>
      </c>
      <c r="D19" t="s">
        <v>228</v>
      </c>
      <c r="E19" t="s">
        <v>229</v>
      </c>
      <c r="F19" t="s">
        <v>230</v>
      </c>
    </row>
    <row r="20" spans="1:6" x14ac:dyDescent="0.25">
      <c r="A20" t="s">
        <v>231</v>
      </c>
      <c r="B20" t="s">
        <v>232</v>
      </c>
      <c r="C20" t="s">
        <v>233</v>
      </c>
      <c r="D20" t="s">
        <v>234</v>
      </c>
      <c r="E20" t="s">
        <v>235</v>
      </c>
      <c r="F20" t="s">
        <v>236</v>
      </c>
    </row>
    <row r="21" spans="1:6" x14ac:dyDescent="0.25">
      <c r="A21" t="s">
        <v>237</v>
      </c>
      <c r="B21" t="s">
        <v>238</v>
      </c>
      <c r="C21" t="s">
        <v>239</v>
      </c>
      <c r="D21" t="s">
        <v>240</v>
      </c>
      <c r="E21" t="s">
        <v>241</v>
      </c>
      <c r="F21" t="s">
        <v>242</v>
      </c>
    </row>
    <row r="22" spans="1:6" x14ac:dyDescent="0.25">
      <c r="A22" t="s">
        <v>243</v>
      </c>
      <c r="B22" t="s">
        <v>244</v>
      </c>
      <c r="C22" t="s">
        <v>245</v>
      </c>
      <c r="D22" t="s">
        <v>246</v>
      </c>
      <c r="E22" t="s">
        <v>247</v>
      </c>
      <c r="F22" t="s">
        <v>248</v>
      </c>
    </row>
    <row r="23" spans="1:6" x14ac:dyDescent="0.25">
      <c r="A23" t="s">
        <v>249</v>
      </c>
      <c r="B23" t="s">
        <v>250</v>
      </c>
      <c r="C23" t="s">
        <v>251</v>
      </c>
      <c r="D23" t="s">
        <v>252</v>
      </c>
      <c r="E23" t="s">
        <v>253</v>
      </c>
      <c r="F23" t="s">
        <v>254</v>
      </c>
    </row>
    <row r="24" spans="1:6" x14ac:dyDescent="0.25">
      <c r="A24" t="s">
        <v>255</v>
      </c>
      <c r="B24" t="s">
        <v>256</v>
      </c>
      <c r="C24" t="s">
        <v>257</v>
      </c>
      <c r="D24" t="s">
        <v>258</v>
      </c>
      <c r="E24" t="s">
        <v>259</v>
      </c>
      <c r="F24" t="s">
        <v>260</v>
      </c>
    </row>
    <row r="25" spans="1:6" x14ac:dyDescent="0.25">
      <c r="A25" t="s">
        <v>261</v>
      </c>
      <c r="B25" t="s">
        <v>262</v>
      </c>
      <c r="C25" t="s">
        <v>263</v>
      </c>
      <c r="D25" t="s">
        <v>264</v>
      </c>
      <c r="E25" t="s">
        <v>265</v>
      </c>
      <c r="F25" t="s">
        <v>266</v>
      </c>
    </row>
    <row r="26" spans="1:6" x14ac:dyDescent="0.25">
      <c r="A26" t="s">
        <v>267</v>
      </c>
      <c r="B26" t="s">
        <v>268</v>
      </c>
      <c r="C26" t="s">
        <v>269</v>
      </c>
      <c r="D26" t="s">
        <v>270</v>
      </c>
      <c r="E26" t="s">
        <v>271</v>
      </c>
      <c r="F26" t="s">
        <v>272</v>
      </c>
    </row>
    <row r="27" spans="1:6" x14ac:dyDescent="0.25">
      <c r="A27" t="s">
        <v>273</v>
      </c>
      <c r="B27" t="s">
        <v>274</v>
      </c>
      <c r="C27" t="s">
        <v>275</v>
      </c>
      <c r="D27" t="s">
        <v>276</v>
      </c>
      <c r="E27" t="s">
        <v>277</v>
      </c>
      <c r="F27" t="s">
        <v>278</v>
      </c>
    </row>
    <row r="28" spans="1:6" x14ac:dyDescent="0.25">
      <c r="A28" t="s">
        <v>279</v>
      </c>
      <c r="B28" t="s">
        <v>280</v>
      </c>
      <c r="C28" t="s">
        <v>281</v>
      </c>
      <c r="D28" t="s">
        <v>282</v>
      </c>
      <c r="E28" t="s">
        <v>283</v>
      </c>
      <c r="F28" t="s">
        <v>284</v>
      </c>
    </row>
    <row r="29" spans="1:6" x14ac:dyDescent="0.25">
      <c r="A29" t="s">
        <v>285</v>
      </c>
      <c r="B29" t="s">
        <v>286</v>
      </c>
      <c r="C29" t="s">
        <v>287</v>
      </c>
      <c r="D29" t="s">
        <v>288</v>
      </c>
      <c r="E29" t="s">
        <v>289</v>
      </c>
      <c r="F29" t="s">
        <v>290</v>
      </c>
    </row>
    <row r="30" spans="1:6" x14ac:dyDescent="0.25">
      <c r="A30" t="s">
        <v>291</v>
      </c>
      <c r="B30" t="s">
        <v>292</v>
      </c>
      <c r="C30" t="s">
        <v>293</v>
      </c>
      <c r="D30" t="s">
        <v>294</v>
      </c>
      <c r="E30" t="s">
        <v>295</v>
      </c>
      <c r="F30" t="s">
        <v>296</v>
      </c>
    </row>
    <row r="31" spans="1:6" x14ac:dyDescent="0.25">
      <c r="A31" t="s">
        <v>297</v>
      </c>
      <c r="B31" t="s">
        <v>298</v>
      </c>
      <c r="C31" t="s">
        <v>299</v>
      </c>
      <c r="D31" t="s">
        <v>300</v>
      </c>
      <c r="E31" t="s">
        <v>301</v>
      </c>
      <c r="F31" t="s">
        <v>302</v>
      </c>
    </row>
    <row r="32" spans="1:6" x14ac:dyDescent="0.25">
      <c r="A32" t="s">
        <v>303</v>
      </c>
      <c r="B32" t="s">
        <v>304</v>
      </c>
      <c r="C32" t="s">
        <v>305</v>
      </c>
      <c r="D32" t="s">
        <v>306</v>
      </c>
      <c r="E32" t="s">
        <v>307</v>
      </c>
      <c r="F32" t="s">
        <v>308</v>
      </c>
    </row>
    <row r="33" spans="1:6" x14ac:dyDescent="0.25">
      <c r="A33" t="s">
        <v>309</v>
      </c>
      <c r="B33" t="s">
        <v>310</v>
      </c>
      <c r="C33" t="s">
        <v>311</v>
      </c>
      <c r="D33" t="s">
        <v>312</v>
      </c>
      <c r="E33" t="s">
        <v>313</v>
      </c>
      <c r="F33" t="s">
        <v>314</v>
      </c>
    </row>
    <row r="34" spans="1:6" x14ac:dyDescent="0.25">
      <c r="A34" t="s">
        <v>315</v>
      </c>
      <c r="B34" t="s">
        <v>316</v>
      </c>
      <c r="C34" t="s">
        <v>317</v>
      </c>
      <c r="D34" t="s">
        <v>318</v>
      </c>
      <c r="E34" t="s">
        <v>319</v>
      </c>
      <c r="F34" t="s">
        <v>320</v>
      </c>
    </row>
    <row r="35" spans="1:6" x14ac:dyDescent="0.25">
      <c r="A35" t="s">
        <v>321</v>
      </c>
      <c r="B35" t="s">
        <v>322</v>
      </c>
      <c r="C35" t="s">
        <v>323</v>
      </c>
      <c r="D35" t="s">
        <v>324</v>
      </c>
      <c r="E35" t="s">
        <v>325</v>
      </c>
      <c r="F35" t="s">
        <v>326</v>
      </c>
    </row>
    <row r="36" spans="1:6" x14ac:dyDescent="0.25">
      <c r="A36" t="s">
        <v>327</v>
      </c>
      <c r="B36" t="s">
        <v>328</v>
      </c>
      <c r="C36" t="s">
        <v>329</v>
      </c>
      <c r="D36" t="s">
        <v>330</v>
      </c>
      <c r="E36" t="s">
        <v>331</v>
      </c>
      <c r="F36" t="s">
        <v>332</v>
      </c>
    </row>
    <row r="37" spans="1:6" x14ac:dyDescent="0.25">
      <c r="A37" t="s">
        <v>333</v>
      </c>
      <c r="B37" t="s">
        <v>334</v>
      </c>
      <c r="C37" t="s">
        <v>335</v>
      </c>
      <c r="D37" t="s">
        <v>336</v>
      </c>
    </row>
    <row r="38" spans="1:6" x14ac:dyDescent="0.25">
      <c r="A38" t="s">
        <v>337</v>
      </c>
      <c r="B38" t="s">
        <v>338</v>
      </c>
      <c r="C38" t="s">
        <v>339</v>
      </c>
      <c r="D38" t="s">
        <v>340</v>
      </c>
      <c r="E38" t="s">
        <v>341</v>
      </c>
      <c r="F38" t="s">
        <v>342</v>
      </c>
    </row>
    <row r="39" spans="1:6" x14ac:dyDescent="0.25">
      <c r="A39" t="s">
        <v>343</v>
      </c>
      <c r="B39" t="s">
        <v>344</v>
      </c>
      <c r="C39" t="s">
        <v>345</v>
      </c>
      <c r="D39" t="s">
        <v>346</v>
      </c>
      <c r="E39" t="s">
        <v>347</v>
      </c>
      <c r="F39" t="s">
        <v>348</v>
      </c>
    </row>
    <row r="40" spans="1:6" x14ac:dyDescent="0.25">
      <c r="A40" t="s">
        <v>349</v>
      </c>
      <c r="B40" t="s">
        <v>350</v>
      </c>
      <c r="C40" t="s">
        <v>351</v>
      </c>
      <c r="D40" t="s">
        <v>352</v>
      </c>
      <c r="E40" t="s">
        <v>353</v>
      </c>
      <c r="F40" t="s">
        <v>354</v>
      </c>
    </row>
    <row r="41" spans="1:6" x14ac:dyDescent="0.25">
      <c r="A41" t="s">
        <v>349</v>
      </c>
      <c r="B41" t="s">
        <v>355</v>
      </c>
      <c r="C41" t="s">
        <v>356</v>
      </c>
      <c r="D41" t="s">
        <v>357</v>
      </c>
      <c r="E41" t="s">
        <v>358</v>
      </c>
      <c r="F41" t="s">
        <v>359</v>
      </c>
    </row>
    <row r="42" spans="1:6" x14ac:dyDescent="0.25">
      <c r="A42" t="s">
        <v>360</v>
      </c>
      <c r="B42" t="s">
        <v>361</v>
      </c>
      <c r="C42" t="s">
        <v>362</v>
      </c>
      <c r="D42" t="s">
        <v>363</v>
      </c>
      <c r="E42" t="s">
        <v>364</v>
      </c>
    </row>
    <row r="43" spans="1:6" x14ac:dyDescent="0.25">
      <c r="A43" t="s">
        <v>366</v>
      </c>
      <c r="B43" t="s">
        <v>367</v>
      </c>
      <c r="C43" t="s">
        <v>368</v>
      </c>
      <c r="D43" t="s">
        <v>369</v>
      </c>
      <c r="E43" t="s">
        <v>370</v>
      </c>
      <c r="F43" t="s">
        <v>371</v>
      </c>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年表</vt:lpstr>
      <vt:lpstr>反篡改</vt:lpstr>
      <vt:lpstr>推论</vt:lpstr>
      <vt:lpstr>草稿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fz</dc:creator>
  <cp:lastModifiedBy>Astra</cp:lastModifiedBy>
  <dcterms:created xsi:type="dcterms:W3CDTF">2026-05-28T01:44:00Z</dcterms:created>
  <dcterms:modified xsi:type="dcterms:W3CDTF">2026-06-02T07:12:06Z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B17898F75996C66E08BD166AD80F64BE_41</vt:lpwstr>
  </property>
  <property fmtid="{D5CDD505-2E9C-101B-9397-08002B2CF9AE}" pid="3" name="KSOProductBuildVer">
    <vt:lpwstr>2052-12.1.25895.25895</vt:lpwstr>
  </property>
  <property fmtid="{D5CDD505-2E9C-101B-9397-08002B2CF9AE}" pid="4" name="CalculationRule">
    <vt:i4>1</vt:i4>
  </property>
</Properties>
</file>