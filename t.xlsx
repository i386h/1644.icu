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Astra\Documents\projects\1644.icu\"/>
    </mc:Choice>
  </mc:AlternateContent>
  <xr:revisionPtr revIDLastSave="0" documentId="13_ncr:1_{8EC0B059-985B-4F8B-A28E-96571E375DC7}" xr6:coauthVersionLast="36" xr6:coauthVersionMax="36" xr10:uidLastSave="{00000000-0000-0000-0000-000000000000}"/>
  <bookViews>
    <workbookView xWindow="0" yWindow="0" windowWidth="29400" windowHeight="12636" tabRatio="351" xr2:uid="{00000000-000D-0000-FFFF-FFFF00000000}"/>
  </bookViews>
  <sheets>
    <sheet name="年表" sheetId="2" r:id="rId1"/>
    <sheet name="反篡改" sheetId="3" r:id="rId2"/>
    <sheet name="推论" sheetId="4" r:id="rId3"/>
    <sheet name="草稿" sheetId="5" r:id="rId4"/>
  </sheets>
  <calcPr calcId="191029"/>
</workbook>
</file>

<file path=xl/calcChain.xml><?xml version="1.0" encoding="utf-8"?>
<calcChain xmlns="http://schemas.openxmlformats.org/spreadsheetml/2006/main">
  <c r="J15" i="2" l="1"/>
  <c r="J18" i="2" a="1"/>
  <c r="J18" i="2" s="1"/>
  <c r="K18" i="2" s="1" a="1"/>
  <c r="K18" i="2" s="1"/>
  <c r="J19" i="2" s="1" a="1"/>
  <c r="J19" i="2" s="1"/>
  <c r="K19" i="2" s="1" a="1"/>
  <c r="K19" i="2" s="1"/>
  <c r="J20" i="2" s="1" a="1"/>
  <c r="J20" i="2" s="1"/>
  <c r="K20" i="2" s="1" a="1"/>
  <c r="K20" i="2" s="1"/>
  <c r="J21" i="2" s="1" a="1"/>
  <c r="J21" i="2" s="1"/>
  <c r="K21" i="2" s="1" a="1"/>
  <c r="K21" i="2" s="1"/>
  <c r="J22" i="2" s="1" a="1"/>
  <c r="J22" i="2" s="1"/>
  <c r="K22" i="2" s="1" a="1"/>
  <c r="K22" i="2" s="1"/>
  <c r="J23" i="2" s="1" a="1"/>
  <c r="J23" i="2" s="1"/>
  <c r="K23" i="2" s="1" a="1"/>
  <c r="K23" i="2" s="1"/>
  <c r="J24" i="2" s="1" a="1"/>
  <c r="J24" i="2" s="1"/>
  <c r="K24" i="2" s="1" a="1"/>
  <c r="K24" i="2" s="1"/>
  <c r="J25" i="2" s="1" a="1"/>
  <c r="J25" i="2" s="1"/>
  <c r="K25" i="2" s="1" a="1"/>
  <c r="K25" i="2" s="1"/>
  <c r="J26" i="2" s="1" a="1"/>
  <c r="J26" i="2" s="1"/>
  <c r="K26" i="2" s="1" a="1"/>
  <c r="K26" i="2" s="1"/>
  <c r="J27" i="2" s="1" a="1"/>
  <c r="J27" i="2" s="1"/>
  <c r="K27" i="2" s="1" a="1"/>
  <c r="K27" i="2" s="1"/>
  <c r="J28" i="2" s="1" a="1"/>
  <c r="J28" i="2" s="1"/>
  <c r="K28" i="2" s="1" a="1"/>
  <c r="K28" i="2" s="1"/>
  <c r="J29" i="2" s="1" a="1"/>
  <c r="J29" i="2" s="1"/>
  <c r="K29" i="2" s="1" a="1"/>
  <c r="K29" i="2" s="1"/>
  <c r="J30" i="2" s="1" a="1"/>
  <c r="J30" i="2" s="1"/>
  <c r="K30" i="2" s="1" a="1"/>
  <c r="K30" i="2" s="1"/>
  <c r="J31" i="2" s="1" a="1"/>
  <c r="J31" i="2" s="1"/>
  <c r="K31" i="2" s="1" a="1"/>
  <c r="K31" i="2" s="1"/>
  <c r="J32" i="2" s="1" a="1"/>
  <c r="J32" i="2" s="1"/>
  <c r="K32" i="2" s="1" a="1"/>
  <c r="K32" i="2" s="1"/>
  <c r="J33" i="2" s="1" a="1"/>
  <c r="J33" i="2" s="1"/>
  <c r="K33" i="2" s="1" a="1"/>
  <c r="K33" i="2" s="1"/>
  <c r="J34" i="2" s="1" a="1"/>
  <c r="J34" i="2" s="1"/>
  <c r="K34" i="2" s="1" a="1"/>
  <c r="K34" i="2" s="1"/>
  <c r="J35" i="2" s="1" a="1"/>
  <c r="J35" i="2" s="1"/>
  <c r="K35" i="2" s="1" a="1"/>
  <c r="K35" i="2" s="1"/>
  <c r="J36" i="2" s="1" a="1"/>
  <c r="J36" i="2" s="1"/>
  <c r="K36" i="2" s="1" a="1"/>
  <c r="K36" i="2" s="1"/>
  <c r="J37" i="2" s="1" a="1"/>
  <c r="J37" i="2" s="1"/>
  <c r="K37" i="2" s="1" a="1"/>
  <c r="K37" i="2" s="1"/>
  <c r="J38" i="2" s="1" a="1"/>
  <c r="J38" i="2" s="1"/>
  <c r="K38" i="2" s="1" a="1"/>
  <c r="K38" i="2" s="1"/>
  <c r="J39" i="2" s="1" a="1"/>
  <c r="J39" i="2" s="1"/>
  <c r="K39" i="2" s="1" a="1"/>
  <c r="K39" i="2" s="1"/>
  <c r="J40" i="2" s="1" a="1"/>
  <c r="J40" i="2" s="1"/>
  <c r="K40" i="2" s="1" a="1"/>
  <c r="K40" i="2" s="1"/>
  <c r="J41" i="2" s="1" a="1"/>
  <c r="J41" i="2" s="1"/>
  <c r="K41" i="2" s="1" a="1"/>
  <c r="K41" i="2" s="1"/>
  <c r="J42" i="2" s="1" a="1"/>
  <c r="J42" i="2" s="1"/>
  <c r="K42" i="2" s="1" a="1"/>
  <c r="K42" i="2" s="1"/>
  <c r="K17" i="2" a="1"/>
  <c r="K17" i="2" s="1"/>
  <c r="J17" i="2" a="1"/>
  <c r="J17" i="2" s="1"/>
  <c r="K16" i="2"/>
  <c r="D17" i="2"/>
  <c r="E17" i="2"/>
  <c r="H16" i="2" l="1"/>
  <c r="I16" i="2" s="1" a="1"/>
  <c r="I16" i="2" s="1"/>
  <c r="K15" i="2" l="1"/>
  <c r="H17" i="2"/>
  <c r="I17" i="2" s="1" a="1"/>
  <c r="I17" i="2" s="1"/>
  <c r="H18" i="2" l="1"/>
  <c r="I18" i="2" s="1" a="1"/>
  <c r="I18" i="2" s="1"/>
  <c r="D43" i="2"/>
  <c r="H19" i="2" l="1"/>
  <c r="I19" i="2" s="1" a="1"/>
  <c r="I19" i="2" s="1"/>
  <c r="B15" i="2" a="1"/>
  <c r="B15" i="2" s="1"/>
  <c r="K14" i="2" l="1" a="1"/>
  <c r="K14" i="2" s="1"/>
  <c r="J14" i="2" s="1" a="1"/>
  <c r="J14" i="2" s="1"/>
  <c r="H20" i="2"/>
  <c r="I20" i="2" s="1" a="1"/>
  <c r="I20" i="2" s="1"/>
  <c r="F42" i="2" a="1"/>
  <c r="F42" i="2" s="1"/>
  <c r="E42" i="2"/>
  <c r="D42" i="2"/>
  <c r="F41" i="2" a="1"/>
  <c r="F41" i="2" s="1"/>
  <c r="E41" i="2"/>
  <c r="D41" i="2"/>
  <c r="F40" i="2" a="1"/>
  <c r="F40" i="2" s="1"/>
  <c r="E40" i="2"/>
  <c r="D40" i="2"/>
  <c r="F39" i="2" a="1"/>
  <c r="F39" i="2" s="1"/>
  <c r="E39" i="2"/>
  <c r="D39" i="2"/>
  <c r="F38" i="2" a="1"/>
  <c r="F38" i="2" s="1"/>
  <c r="E38" i="2"/>
  <c r="D38" i="2"/>
  <c r="F37" i="2" a="1"/>
  <c r="F37" i="2" s="1"/>
  <c r="E37" i="2"/>
  <c r="D37" i="2"/>
  <c r="F36" i="2" a="1"/>
  <c r="F36" i="2" s="1"/>
  <c r="E36" i="2"/>
  <c r="D36" i="2"/>
  <c r="F35" i="2" a="1"/>
  <c r="F35" i="2" s="1"/>
  <c r="E35" i="2"/>
  <c r="D35" i="2"/>
  <c r="F34" i="2" a="1"/>
  <c r="F34" i="2" s="1"/>
  <c r="E34" i="2"/>
  <c r="D34" i="2"/>
  <c r="F33" i="2" a="1"/>
  <c r="F33" i="2" s="1"/>
  <c r="E33" i="2"/>
  <c r="D33" i="2"/>
  <c r="F32" i="2" a="1"/>
  <c r="F32" i="2" s="1"/>
  <c r="E32" i="2"/>
  <c r="D32" i="2"/>
  <c r="F31" i="2" a="1"/>
  <c r="F31" i="2" s="1"/>
  <c r="E31" i="2"/>
  <c r="D31" i="2"/>
  <c r="F30" i="2" a="1"/>
  <c r="F30" i="2" s="1"/>
  <c r="E30" i="2"/>
  <c r="D30" i="2"/>
  <c r="F29" i="2" a="1"/>
  <c r="F29" i="2" s="1"/>
  <c r="E29" i="2"/>
  <c r="D29" i="2"/>
  <c r="F28" i="2" a="1"/>
  <c r="F28" i="2" s="1"/>
  <c r="E28" i="2"/>
  <c r="D28" i="2"/>
  <c r="F27" i="2" a="1"/>
  <c r="F27" i="2" s="1"/>
  <c r="E27" i="2"/>
  <c r="D27" i="2"/>
  <c r="F26" i="2" a="1"/>
  <c r="F26" i="2" s="1"/>
  <c r="E26" i="2"/>
  <c r="D26" i="2"/>
  <c r="F25" i="2" a="1"/>
  <c r="F25" i="2" s="1"/>
  <c r="E25" i="2"/>
  <c r="D25" i="2"/>
  <c r="F24" i="2" a="1"/>
  <c r="F24" i="2" s="1"/>
  <c r="E24" i="2"/>
  <c r="D24" i="2"/>
  <c r="F23" i="2" a="1"/>
  <c r="F23" i="2" s="1"/>
  <c r="E23" i="2"/>
  <c r="D23" i="2"/>
  <c r="F22" i="2" a="1"/>
  <c r="F22" i="2" s="1"/>
  <c r="E22" i="2"/>
  <c r="D22" i="2"/>
  <c r="F21" i="2" a="1"/>
  <c r="F21" i="2" s="1"/>
  <c r="E21" i="2"/>
  <c r="D21" i="2"/>
  <c r="F20" i="2" a="1"/>
  <c r="F20" i="2" s="1"/>
  <c r="E20" i="2"/>
  <c r="D20" i="2"/>
  <c r="F19" i="2" a="1"/>
  <c r="F19" i="2" s="1"/>
  <c r="E19" i="2"/>
  <c r="D19" i="2"/>
  <c r="F18" i="2" a="1"/>
  <c r="F18" i="2" s="1"/>
  <c r="E18" i="2"/>
  <c r="D18" i="2"/>
  <c r="E16" i="2"/>
  <c r="D16" i="2"/>
  <c r="K13" i="2" l="1" a="1"/>
  <c r="K13" i="2" s="1"/>
  <c r="J13" i="2" s="1" a="1"/>
  <c r="J13" i="2" s="1"/>
  <c r="H21" i="2"/>
  <c r="I21" i="2" s="1" a="1"/>
  <c r="I21" i="2" s="1"/>
  <c r="D15" i="2"/>
  <c r="K12" i="2" l="1" a="1"/>
  <c r="K12" i="2" s="1"/>
  <c r="J12" i="2" s="1" a="1"/>
  <c r="J12" i="2" s="1"/>
  <c r="K11" i="2" s="1" a="1"/>
  <c r="K11" i="2" s="1"/>
  <c r="J11" i="2" s="1" a="1"/>
  <c r="J11" i="2" s="1"/>
  <c r="K10" i="2" s="1" a="1"/>
  <c r="K10" i="2" s="1"/>
  <c r="J10" i="2" s="1" a="1"/>
  <c r="J10" i="2" s="1"/>
  <c r="K9" i="2" s="1" a="1"/>
  <c r="K9" i="2" s="1"/>
  <c r="J9" i="2" s="1" a="1"/>
  <c r="J9" i="2" s="1"/>
  <c r="K8" i="2" s="1" a="1"/>
  <c r="K8" i="2" s="1"/>
  <c r="J8" i="2" s="1" a="1"/>
  <c r="J8" i="2" s="1"/>
  <c r="K7" i="2" s="1" a="1"/>
  <c r="K7" i="2" s="1"/>
  <c r="J7" i="2" s="1" a="1"/>
  <c r="J7" i="2" s="1"/>
  <c r="K6" i="2" s="1" a="1"/>
  <c r="K6" i="2" s="1"/>
  <c r="J6" i="2" s="1" a="1"/>
  <c r="J6" i="2" s="1"/>
  <c r="K5" i="2" s="1" a="1"/>
  <c r="K5" i="2" s="1"/>
  <c r="J5" i="2" s="1" a="1"/>
  <c r="J5" i="2" s="1"/>
  <c r="K4" i="2" s="1" a="1"/>
  <c r="K4" i="2" s="1"/>
  <c r="J4" i="2" s="1" a="1"/>
  <c r="J4" i="2" s="1"/>
  <c r="K3" i="2" s="1" a="1"/>
  <c r="K3" i="2" s="1"/>
  <c r="J3" i="2" s="1" a="1"/>
  <c r="J3" i="2" s="1"/>
  <c r="K2" i="2" s="1" a="1"/>
  <c r="K2" i="2" s="1"/>
  <c r="J2" i="2" s="1" a="1"/>
  <c r="J2" i="2" s="1"/>
  <c r="H22" i="2"/>
  <c r="I22" i="2" s="1" a="1"/>
  <c r="I22" i="2" s="1"/>
  <c r="C15" i="2" a="1"/>
  <c r="C15" i="2" s="1"/>
  <c r="H23" i="2" l="1"/>
  <c r="I23" i="2" s="1" a="1"/>
  <c r="I23" i="2" s="1"/>
  <c r="E15" i="2"/>
  <c r="B14" i="2"/>
  <c r="H24" i="2" l="1"/>
  <c r="I24" i="2" s="1" a="1"/>
  <c r="I24" i="2" s="1"/>
  <c r="D14" i="2"/>
  <c r="H25" i="2" l="1"/>
  <c r="I25" i="2" s="1" a="1"/>
  <c r="I25" i="2" s="1"/>
  <c r="C14" i="2" a="1"/>
  <c r="C14" i="2" s="1"/>
  <c r="H26" i="2" l="1"/>
  <c r="I26" i="2" s="1" a="1"/>
  <c r="I26" i="2" s="1"/>
  <c r="B13" i="2" a="1"/>
  <c r="B13" i="2" s="1"/>
  <c r="C13" i="2" s="1" a="1"/>
  <c r="C13" i="2" s="1"/>
  <c r="B12" i="2" s="1" a="1"/>
  <c r="E14" i="2"/>
  <c r="H27" i="2" l="1"/>
  <c r="I27" i="2" s="1" a="1"/>
  <c r="I27" i="2" s="1"/>
  <c r="D13" i="2"/>
  <c r="E13" i="2"/>
  <c r="B12" i="2"/>
  <c r="C12" i="2" s="1" a="1"/>
  <c r="H28" i="2" l="1"/>
  <c r="I28" i="2" s="1" a="1"/>
  <c r="I28" i="2" s="1"/>
  <c r="D12" i="2"/>
  <c r="C12" i="2"/>
  <c r="B11" i="2" s="1" a="1"/>
  <c r="H29" i="2" l="1"/>
  <c r="I29" i="2" s="1" a="1"/>
  <c r="I29" i="2" s="1"/>
  <c r="E12" i="2"/>
  <c r="B11" i="2"/>
  <c r="C11" i="2" s="1" a="1"/>
  <c r="H30" i="2" l="1"/>
  <c r="I30" i="2" s="1" a="1"/>
  <c r="I30" i="2" s="1"/>
  <c r="D11" i="2"/>
  <c r="C11" i="2"/>
  <c r="B10" i="2" s="1" a="1"/>
  <c r="H31" i="2" l="1"/>
  <c r="I31" i="2" s="1" a="1"/>
  <c r="I31" i="2" s="1"/>
  <c r="E11" i="2"/>
  <c r="B10" i="2"/>
  <c r="C10" i="2" s="1" a="1"/>
  <c r="H32" i="2" l="1"/>
  <c r="I32" i="2" s="1" a="1"/>
  <c r="I32" i="2" s="1"/>
  <c r="D10" i="2"/>
  <c r="C10" i="2"/>
  <c r="B9" i="2" s="1" a="1"/>
  <c r="H33" i="2" l="1"/>
  <c r="I33" i="2" s="1" a="1"/>
  <c r="I33" i="2" s="1"/>
  <c r="E10" i="2"/>
  <c r="B9" i="2"/>
  <c r="C9" i="2" s="1" a="1"/>
  <c r="H34" i="2" l="1"/>
  <c r="I34" i="2" s="1" a="1"/>
  <c r="I34" i="2" s="1"/>
  <c r="D9" i="2"/>
  <c r="C9" i="2"/>
  <c r="B8" i="2" s="1" a="1"/>
  <c r="H35" i="2" l="1"/>
  <c r="I35" i="2" s="1" a="1"/>
  <c r="I35" i="2" s="1"/>
  <c r="E9" i="2"/>
  <c r="B8" i="2"/>
  <c r="C8" i="2" s="1" a="1"/>
  <c r="H36" i="2" l="1"/>
  <c r="I36" i="2" s="1" a="1"/>
  <c r="I36" i="2" s="1"/>
  <c r="D8" i="2"/>
  <c r="C8" i="2"/>
  <c r="B7" i="2" s="1" a="1"/>
  <c r="H37" i="2" l="1"/>
  <c r="I37" i="2" s="1" a="1"/>
  <c r="I37" i="2" s="1"/>
  <c r="E8" i="2"/>
  <c r="B7" i="2"/>
  <c r="C7" i="2" s="1" a="1"/>
  <c r="H38" i="2" l="1"/>
  <c r="I38" i="2" s="1" a="1"/>
  <c r="I38" i="2" s="1"/>
  <c r="D7" i="2"/>
  <c r="C7" i="2"/>
  <c r="B6" i="2" s="1" a="1"/>
  <c r="H39" i="2" l="1"/>
  <c r="I39" i="2" s="1" a="1"/>
  <c r="I39" i="2" s="1"/>
  <c r="E7" i="2"/>
  <c r="B6" i="2"/>
  <c r="C6" i="2" s="1" a="1"/>
  <c r="H40" i="2" l="1"/>
  <c r="I40" i="2" s="1" a="1"/>
  <c r="I40" i="2" s="1"/>
  <c r="D6" i="2"/>
  <c r="C6" i="2"/>
  <c r="B5" i="2" s="1" a="1"/>
  <c r="H41" i="2" l="1"/>
  <c r="I41" i="2" s="1" a="1"/>
  <c r="I41" i="2" s="1"/>
  <c r="E6" i="2"/>
  <c r="B5" i="2"/>
  <c r="C5" i="2" s="1" a="1"/>
  <c r="H42" i="2" l="1"/>
  <c r="I42" i="2" s="1" a="1"/>
  <c r="I42" i="2" s="1"/>
  <c r="D5" i="2"/>
  <c r="C5" i="2"/>
  <c r="B4" i="2" s="1" a="1"/>
  <c r="E5" i="2" l="1"/>
  <c r="B4" i="2"/>
  <c r="C4" i="2" s="1" a="1"/>
  <c r="D4" i="2" l="1"/>
  <c r="C4" i="2"/>
  <c r="B3" i="2" s="1" a="1"/>
  <c r="E4" i="2" l="1"/>
  <c r="B3" i="2"/>
  <c r="C3" i="2" s="1" a="1"/>
  <c r="D3" i="2" l="1"/>
  <c r="C3" i="2"/>
  <c r="B2" i="2" s="1" a="1"/>
  <c r="E3" i="2" l="1"/>
  <c r="B2" i="2"/>
  <c r="C2" i="2" s="1" a="1"/>
  <c r="D2" i="2" l="1"/>
  <c r="C2" i="2"/>
  <c r="E2" i="2" s="1"/>
  <c r="I15" i="2" l="1" a="1"/>
  <c r="I15" i="2" s="1"/>
  <c r="H15" i="2" l="1" a="1"/>
  <c r="H15" i="2" s="1"/>
  <c r="I14" i="2" s="1"/>
  <c r="H14" i="2" l="1" a="1"/>
  <c r="H14" i="2" s="1"/>
  <c r="I13" i="2" l="1" a="1"/>
  <c r="I13" i="2" s="1"/>
  <c r="H13" i="2" l="1" a="1"/>
  <c r="H13" i="2" s="1"/>
  <c r="I12" i="2" l="1" a="1"/>
  <c r="I12" i="2" s="1"/>
  <c r="H12" i="2" l="1" a="1"/>
  <c r="H12" i="2" s="1"/>
  <c r="I11" i="2" l="1" a="1"/>
  <c r="I11" i="2" s="1"/>
  <c r="H11" i="2" l="1" a="1"/>
  <c r="H11" i="2" s="1"/>
  <c r="I10" i="2" l="1" a="1"/>
  <c r="I10" i="2" s="1"/>
  <c r="H10" i="2" l="1" a="1"/>
  <c r="H10" i="2" s="1"/>
  <c r="I9" i="2" l="1" a="1"/>
  <c r="I9" i="2" s="1"/>
  <c r="H9" i="2" l="1" a="1"/>
  <c r="H9" i="2" s="1"/>
  <c r="I8" i="2" l="1" a="1"/>
  <c r="I8" i="2" s="1"/>
  <c r="H8" i="2" l="1" a="1"/>
  <c r="H8" i="2" s="1"/>
  <c r="I7" i="2" l="1" a="1"/>
  <c r="I7" i="2" s="1"/>
  <c r="H7" i="2" l="1" a="1"/>
  <c r="H7" i="2" s="1"/>
  <c r="I6" i="2" l="1" a="1"/>
  <c r="I6" i="2" s="1"/>
  <c r="H6" i="2" l="1" a="1"/>
  <c r="H6" i="2" s="1"/>
  <c r="I5" i="2" l="1" a="1"/>
  <c r="I5" i="2" s="1"/>
  <c r="H5" i="2" l="1" a="1"/>
  <c r="H5" i="2" s="1"/>
  <c r="I4" i="2" l="1" a="1"/>
  <c r="I4" i="2" s="1"/>
  <c r="H4" i="2" l="1" a="1"/>
  <c r="H4" i="2" s="1"/>
  <c r="I3" i="2" l="1" a="1"/>
  <c r="I3" i="2" s="1"/>
  <c r="H3" i="2" l="1" a="1"/>
  <c r="H3" i="2" s="1"/>
  <c r="I2" i="2" l="1" a="1"/>
  <c r="I2" i="2" s="1"/>
  <c r="H2" i="2" l="1" a="1"/>
  <c r="H2" i="2" s="1"/>
</calcChain>
</file>

<file path=xl/sharedStrings.xml><?xml version="1.0" encoding="utf-8"?>
<sst xmlns="http://schemas.openxmlformats.org/spreadsheetml/2006/main" count="432" uniqueCount="430">
  <si>
    <t>朝代</t>
  </si>
  <si>
    <t>开始
公元年</t>
  </si>
  <si>
    <t>结束
公元年</t>
  </si>
  <si>
    <t>开始
黄帝纪年</t>
  </si>
  <si>
    <t>结束
黄帝纪年</t>
  </si>
  <si>
    <t>长度 旧</t>
  </si>
  <si>
    <t>长度 新</t>
  </si>
  <si>
    <t>开始（新）
公元年</t>
  </si>
  <si>
    <t>结束（新）
公元年</t>
  </si>
  <si>
    <t>开始（新）
黄帝纪年</t>
  </si>
  <si>
    <t>结束（新）
黄帝纪年</t>
  </si>
  <si>
    <r>
      <t xml:space="preserve">备注
</t>
    </r>
    <r>
      <rPr>
        <sz val="11"/>
        <color rgb="FFFF0000"/>
        <rFont val="宋体"/>
        <charset val="134"/>
        <scheme val="minor"/>
      </rPr>
      <t>excel文件下载：1644.icu/t.xlsx</t>
    </r>
  </si>
  <si>
    <t>黄帝</t>
  </si>
  <si>
    <t>颛顼</t>
  </si>
  <si>
    <t>帝喾</t>
  </si>
  <si>
    <t>帝挚</t>
  </si>
  <si>
    <t>陶唐</t>
  </si>
  <si>
    <t>有虞</t>
  </si>
  <si>
    <t>夏朝</t>
  </si>
  <si>
    <t>商朝</t>
  </si>
  <si>
    <t>西周</t>
  </si>
  <si>
    <t>东周</t>
  </si>
  <si>
    <t>秦朝</t>
  </si>
  <si>
    <t>西汉</t>
  </si>
  <si>
    <t>参考资料：两汉—新莽 完整复合总验证｜天文原文+黄赤交角+土层+铜锈+碳化+出土实测（全公开无编造）
固定通用客观常数
1.黄赤交角：23°26′21.45″，递减46.84″/百年
2.黄土沉积：0.8mm/百年
3.青铜锈蚀：0.012mm/百年
4.松木碳化：0.15mm/百年
5.全部文物厚度取自国内汉墓考古公开实测报告
精准年代锚定
西汉：前2070—前800，历时1270年
新莽：前800—前760，历时40年
东汉：前760—220，历时980年
一、天文古籍原文+黄赤交角对应
1.西汉《史记·天官书》：汉之兴，五星聚于东井
全程黄赤交角平稳缓降，东井宿正对天极，星宿稳态无大幅漂移，长期天命平顺。
2.新莽《汉书·天文志》：星孛于张、地震天摇
短期极轴偏移、紫微垣偏斜，是天文换代断层，时间极短。
3.东汉《后汉书·天文志》：金犯轩辕，宿位归正
黄赤交角重回匀速缓降，星轨复位，气运接续平稳。
二、地层+锈蚀+碳化 统一精算
1、土层沉积
西汉计算：10.16mm
新莽计算：0.32mm
东汉计算：7.84mm
合计演算：18.32mm
考古出土实测：中原汉墓17.2–18.6mm
世俗短史演算：3.344mm，严重不符
2、青铜锈蚀层
西汉计算：0.1524mm
新莽计算：0.0048mm
东汉计算：0.1176mm
合计演算：0.2748mm
考古出土实测：汉铜器0.25–0.29mm
世俗短史演算：0.05016mm，严重不符
3、松木棺碳化层
西汉计算：1.905mm
新莽计算：0.06mm
东汉计算：1.47mm
合计演算：3.435mm
考古出土实测：汉棺3.2–3.5mm
世俗短史演算：0.627mm，严重不符
三、总结论
1.全部数据取自公开地质速率+汉墓实测，无编造；
2.天文原文、黄赤交角岁差、地层沉积、铜锈碳化，四重完全吻合；
3.世俗压缩两汉年限，全部物理厚度差4–5倍，违背自然规律；
4.唯一真实刻度：
前2070—前800西汉｜前800—前760新莽｜前760—220东汉。
西汉1200年，王莽40年，东汉近900年，国内考古实测的汉朝历史是2100年。</t>
  </si>
  <si>
    <t>新朝</t>
  </si>
  <si>
    <t>按原作者考证新朝也被拉长了，为40年，但这里我暂时不这么放，有点子夸张</t>
  </si>
  <si>
    <t>东汉</t>
  </si>
  <si>
    <t>原文作者认为东汉980年，并提供了考古数据。有可能断代上有问题，故我暂定他是把三国到南北朝的也算进去了。或是东汉的天文记录实际上延续到南北朝，而十六国等记载为割据政权。这样算下来东汉是597年</t>
  </si>
  <si>
    <t>三国</t>
  </si>
  <si>
    <t>西晋</t>
  </si>
  <si>
    <t>东晋</t>
  </si>
  <si>
    <t>南北朝</t>
  </si>
  <si>
    <t>隋朝</t>
  </si>
  <si>
    <t>唐朝</t>
  </si>
  <si>
    <t>按网上推测唐与宋同期 为割据政权</t>
  </si>
  <si>
    <t>五代十国</t>
  </si>
  <si>
    <t>北宋</t>
  </si>
  <si>
    <t>按天文推理，暂定宋1100年，参考资料：我本想打脸“宋朝有1100年”，却用NAS/据亲手证明了它
张宗义
+关注明义知理
237人赞同了该文章&gt;
∩1人听过无可靠信息来源√事情是这样的。
前几天在网上刷到一个帖子。标题特别夸张，大概意思是：宋朝根本不止300年。有人把1100多年的真历史，硬生生压缩成了300年。
我看完差点笑出声。
这年头的阴谋论也太离谱了。一个朝代的年限，全世界的史料都能对应上，你告诉我说改就改？
但笑完之后，我发现有点不对。
他们提了一个很刁钻的角度。天文记录。
天体运行没法撒谎。日食、月食、行星轨道，全部可以用现代天文软件精确反推。你可以在纸上篡改年份，但你没法让公元
1200年的太阳和月亮按照你的需要连成一条线。
如果一个说法是假的，那用NASA的全球公开数据库一跑，所有天象应该全对得上。直接一巴掌拍死。
如果对了呢？哪怕只对了一点点？
我决定自己下场。
不用任何人的分析文章。不看任何预设结论。只拿《宋史·天文志》原文。只拿NASA数据库和JPL星历表。让天体自己说话。我想的是花一个下午把这事说清楚，截个图，发回去打他们的脸。
结果我花了好几周。
有点笑不出来了。
一本账簿里，出现了一笔不存在的流水
我翻开《宋史·天文志》，挑了一条日食记录。
“嘉定十一年七月朔，日有食之□。”
什么意思呢？嘉定十一年七月初一，发生了一场日食。
先解释一下。在古代正史里，“日有食之”这四个字非常非常重。它不是推算，不是天气预报。它是观测记录。太阳真的被月亮挡住了，全京城的人都看见了，史官才往上写。作不了假。
嘉定十一年是哪一年？按照教科书，嘉定是南宋宁宗的年号，嘉定十一年是公元1218年。七月朔，就是七月初一，公历大概是7月底。
我心说这还不简单。打开NASA全球日食数据库，输进去。
这个数据库覆盖了从公元前2000年到公元3000年的每一次日食。精确到年月日，路径图，可见范围，全有。全人类最权威的天文数据，不可能错。
输入1218年7月。
我等着屏幕跳出来结果。没有。
我以为自己输错了。又把范围扩大到整个1218年。这一年只有一次日食，发生在12月。跟七月没有任何关系。
那一天，太阳、月亮、地球，根本没有连成一条线。全世界任何一个角落，都看不到这场日食。
史书上白纸黑字写着“日有食之”。NASA说：没有。
我当时倒是还能接受。万一整本《宋史》这段的日食全是编的呢？那也不是没可能。
于是我把嘉定年前后的日食记录全翻了出来，一条一条往NASA里输。
“嘉定三年六月丁巳朔，日有食之。”—查，有。“嘉定七年九月壬戌朔，日食于角。”—有。“嘉定九年二月甲申朔，日食于室。”—有。“嘉定十年七月丙子朔，日食于张。”—有。“嘉定十四年五月甲申朔，日食于毕。”—有。“嘉定十六年九月庚子朔，日食于轸。”—有。
前面全对。后面全对。就这一条，查无此食。
我的后背开始发麻。
你体会一下这个感觉。你不是在看别人的推论，你是亲手把数据输进去，亲手按回车，亲手看着屏幕上的结果弹出来。一条，两条，三条，全对。然后突然有一条，无论你怎么搜，搜哪个半球，就是没有。
史官不会编造日食。全京城老百姓都能见证的天象，写假的要被杀头。前后所有记录全部真实，那这条记录本身，也一定是真的
但1218年，它不存在。
那就只剩一种可能了。嘉定十一年，这个时间标签，是假的。有人拿了不知道什么年代的旧日食记录，贴上了南宋的年号，塞进了《宋史》里。
那个真正发生日食的年份，被删掉了。
现在的问题是：这条无家可归的日食，原本应该在哪一年？
用月食来围堵
年号可以改。但有两个东西改不了。
第一个是月份。“七月朔”就是七月初一，公历7到8月。这是天文学换算，不是历史学观点，谁都改不了。
第二个是月食。巧的是，嘉定十一年除了这条日食，《宋史·天文志》还记了两次月
食。原文是：
“十一年六月乙卯，月食。十二月壬子，月食，既。”
“既”是什么意思？月全食。整个月亮钻进地球影子里，变成暗红色。
现在，我们手里有三个独立天象，全部来自嘉定十一年内部：一次七月朔日食，一次六月月食，一次十二月月全食。
分开看，每一项单独搜都能筛出一堆候选年份。但把它们捏在一起，要求同一年里同时发生这三件事，候选名单就急剧缩窄。
我把公元1年到1400年之间所有七月朔日食拉出来，把六月月食拉出来，把十二月月全食拉出来，然后找交集。结果只有一个。
公元853年。
853年7月23日，日偏食。853年6月28日，月食。853年12月21日，月全食。
三重锁，全部扣死。
但光有853年一个点还不够。我需要确认整条嘉定年号是不是都落在这个时间窗口里。
天上掉下来一个证人
在翻《宋史·天文志》五星聚合部分的时候，我撞上了另一个罕见天象。
“嘉定二年六月，填星、荧惑、岁星合于井。”
填星是土星。荧惑是火星。岁星是木星。合于井，就是三颗星紧紧挤在井宿—双子座那一小片天区。
三颗行星聚在同一个星宿，几百年才有一次。天文学家管这叫“高精度指纹”，因为太好认了，不可能搞错。
我用JPL星历表回推公元1年到1400年之间所有的三星合于井事件。结果唯一解是公元844年。
现在，我有两条独立的线索了。嘉定二年三星合，锁在844年。嘉定十一年日食加双月食，锁在853年。
你注意看这两个年份之间的关系。嘉定二年到嘉定十一年，在史书里隔了九年。844年到853年，在物理上也隔了九年。
年号之间的间隔，和天象之间的间隔，完全吻合。
整条嘉定年号的自治检验
还不算完。如果整条嘉定年号真的属于这个时间窗口，那嘉定三年到十六年的所有日食记录，必须全部自洽于844到858年之间。
我一条一条查。
嘉定三年六月朔日食，回推公元845年6月，中国可见日偏食。对上了。
嘉定七年九月朔日食于角宿，回推公元849年9月，太阳正好在室女座（角宿），中国可见。对上了。
嘉定九年二月朔日食于室宿，回推公元851年2月，太阳在飞马座（室宿），中国可见。对上了。
嘉定十年七月朔日食于张宿，回推公元852年7月，太阳在长蛇座（张宿），中国可见。对上了。
嘉定十四年五月朔日食于毕宿，回推公元856年5月，太阳在金牛座（毕宿），中国可见。对上了。
嘉定十六年九月朔日食于轸宿，回推公元858年9月，太阳在乌鸦座（轸宿），中国可见。对上了。
七条日食记录，全部自洽于公元844到858年这个区间。没有一条矛盾。连每次日食时太阳所在的星宿，都和NASA回推的太阳位置完全吻合。
这不是巧合。这是整条嘉定年号，被整体贴错了时间标签。它记录的，是唐代中后期从唐武宗到唐宣宗之间十多年的真实天象。
同样的方法，庆元和宝庆也锁死了
翻到《宋史·天文志》庆元年间的记录：
“庆元四年七月，荧惑、岁星、填星合于女。”
又是三星合于女宿。JPL回推唯一解：公元509年。南北朝，梁武帝天监八年。
庆元年号内部还有四条实测日食记录。庆元元年三月朔日食，回推公元506年3月，中国可见。庆元四年正月朔日食，回推509年1月，中国可见。庆元五年正月朔日食，回推510年1月，中国可见。庆元六年六月朔日食，回推511年6月，中国可见。
四条全部自洽于506到511年。庆元年间，是南朝的。
更震撼的还在后面。
“宝庆二年正月壬午，太白、岁星、填星合于女。”“宝庆二年十月辛亥，荧惑、岁星、填星合于女。”
太白是金星。正月，金星、木星、土星挤在女宿。十月，火星替换金星，又跟木星、土星挤在同一个女宿。
同一年，同一宿，两组不同的三星聚合。公元1年到1400年，满足条件的只有一年：公元459年。南北朝，宋孝武帝大明三年。
现行纪年宝庆二年是公元1226年，全年没有任何一次三星聚合。一次都没有。但公元459年2月和10月，两组三星精确落入女宿。
宝庆三年六月朔日食，回推公元460年6月10日，中国可见日偏食。自治。
并非所有年号都有问题
查到这里，我交叉验证了《宋史》里的大量实测日食记录，发现并不是所有年号都被改过。
“德祐元年六月朔，日食，既，星见，鸡鹜皆归。”
日全食。星星出来了，鸡鸭回了窝。查NASA：公元1275年6月25日，日全食，全食带经过中国南部。年份正确，日期正确。现行纪年德祐元年就是公元1275年。
南宋末年的时间线，没有被改动过。被改动的是特定年号区间。
这意味着什么呢？篡改者不是把整部宋史一刀切地拉长了，而是把来自不同朝代的真记录剪碎，重新拼进了一条虚构的时间线。他们改不了的，是行星轨道。改不了的，是日食发生的精确日期。改不了的，是月全食砸在地球上的影子。这些物理事实，就像被压在废墟下面的骨头，安静地等着有人把它们挖出来。
结论
现在，来看已经被独立锁死的几个时间碎片
庆元年间的实测记录来自公元506到511年，南北朝梁武帝时期。
宝庆二年的天象锁死在公元459年，南北朝宋孝武帝时期。
嘉定年间的七条日食和两次三星合全部自洽于公元844到858年，唐代中后期。
沈括的熙宁七年极星三度锁死在公元1074年，这是唯一的基准锚点。
把这些年份放到一起看，一个荒唐的图景就浮现了。教科书把公元459年到1074年这六百多年的真实历史，压缩进了南宋不到一百年的年号框架里。庆元是南朝的，宝庆也是南朝的，嘉定是唐朝的，但它们全被贴上了南宋的年号。
我从一开始想打脸，到最后坐在屏幕前面一句话说不出来。天体不会撒谎。日食不会撒谎。行星的轨道不会撒谎。它们从几十亿年前就在那里安静地运行，等我们去看。
被改漏的天象，就是骨头上没刮干净的肉渣。它们不动。就等着有人来查。
如果天体运行不会撒谎，那谁在撒谎？《宋史》的年号序列是谁编的？那些被我们背了几百年的年份，到底是怎么来的？我们今天看到的历史，是一份原始档案，还是一份被精修过的剪辑版？
还有多少个公元459年，被贴上了错的年号，等着人去算？
这件事我能做的，目前到这里了。天体就在那里转。数据就公开在NASA数据库里。任何人都可以上手去算。任何人都可以来打我的脸。
现在，轮到你了。</t>
  </si>
  <si>
    <t>南宋</t>
  </si>
  <si>
    <t>元朝</t>
  </si>
  <si>
    <t>蒙据时期，可能造成短暂混乱，无朝代</t>
  </si>
  <si>
    <t>明朝</t>
  </si>
  <si>
    <t>按网上主流推测明朝578年</t>
  </si>
  <si>
    <t>清朝</t>
  </si>
  <si>
    <t>按网上推测将清朝缩短</t>
  </si>
  <si>
    <t>西汉按原作者推测为1270年，但考古断代可能会有误差，为了配平黄帝纪年，我在这里借了86年。各个朝代的时间 ，可能都会需要调整，后面如果有新证据我会调回来</t>
    <phoneticPr fontId="4" type="noConversion"/>
  </si>
  <si>
    <t>炎帝</t>
    <phoneticPr fontId="4" type="noConversion"/>
  </si>
  <si>
    <t>伏羲氏</t>
    <phoneticPr fontId="4" type="noConversion"/>
  </si>
  <si>
    <t>太昊氏</t>
    <phoneticPr fontId="4" type="noConversion"/>
  </si>
  <si>
    <t>人皇氏</t>
    <phoneticPr fontId="4" type="noConversion"/>
  </si>
  <si>
    <t>地皇氏</t>
    <phoneticPr fontId="4" type="noConversion"/>
  </si>
  <si>
    <t>天皇氏</t>
    <phoneticPr fontId="4" type="noConversion"/>
  </si>
  <si>
    <t>盘古氏</t>
    <phoneticPr fontId="4" type="noConversion"/>
  </si>
  <si>
    <t>定干支、正岁时·《命历序》"天皇十三头各万八千岁"，这里古书记作“九头纪”，天皇有13人</t>
    <phoneticPr fontId="4" type="noConversion"/>
  </si>
  <si>
    <t>定日月星三辰、分昼夜·《路史·前纪二》，地皇有11人</t>
    <phoneticPr fontId="4" type="noConversion"/>
  </si>
  <si>
    <t>五龙氏</t>
    <phoneticPr fontId="4" type="noConversion"/>
  </si>
  <si>
    <t>提挺氏</t>
    <phoneticPr fontId="4" type="noConversion"/>
  </si>
  <si>
    <t>合雒纪</t>
    <phoneticPr fontId="4" type="noConversion"/>
  </si>
  <si>
    <t>连通纪</t>
    <phoneticPr fontId="4" type="noConversion"/>
  </si>
  <si>
    <t>叙命纪</t>
    <phoneticPr fontId="4" type="noConversion"/>
  </si>
  <si>
    <t>巨灵氏</t>
    <phoneticPr fontId="4" type="noConversion"/>
  </si>
  <si>
    <t>辰放氏</t>
    <phoneticPr fontId="4" type="noConversion"/>
  </si>
  <si>
    <t>传三姓（或四世），无具体氏号留传，教穴居乘蜚鹿</t>
    <phoneticPr fontId="4" type="noConversion"/>
  </si>
  <si>
    <t>分九州、始有君长·《命历序》"人皇九头百五十世"，总共九人，150世，我暂时算作1500年</t>
    <phoneticPr fontId="4" type="noConversion"/>
  </si>
  <si>
    <t>根据篡改痕迹进行还原，产生的历史推论汇总</t>
    <phoneticPr fontId="6" type="noConversion"/>
  </si>
  <si>
    <t>编号</t>
    <phoneticPr fontId="6" type="noConversion"/>
  </si>
  <si>
    <t>事件</t>
    <phoneticPr fontId="6" type="noConversion"/>
  </si>
  <si>
    <t>根据西方舆论战动作反推可能存在的历史事实</t>
    <phoneticPr fontId="6" type="noConversion"/>
  </si>
  <si>
    <t>舆论战操作</t>
    <phoneticPr fontId="6" type="noConversion"/>
  </si>
  <si>
    <t>推论</t>
    <phoneticPr fontId="6" type="noConversion"/>
  </si>
  <si>
    <t>金庸私下保留了清朝销毁的各种孤本小说，并进行了简单修改，不反清，最后拿来发表。所以其中有许多自相矛盾的地方</t>
    <phoneticPr fontId="6" type="noConversion"/>
  </si>
  <si>
    <t>关于龙的视频下总会有大量的人否定龙存在，认为幼稚</t>
    <phoneticPr fontId="6" type="noConversion"/>
  </si>
  <si>
    <t>龙的确存在过，而且跟华夏先民有某种联系，可能会有助于断代华夏的发源时间。龙图腾的出现是在太昊时期</t>
    <phoneticPr fontId="6" type="noConversion"/>
  </si>
  <si>
    <t>满清只有60多年，明朝可能有500多年，汉可能1000多年，宋可能1000多年。元 隋唐可能不存在或为割据政权</t>
    <phoneticPr fontId="6" type="noConversion"/>
  </si>
  <si>
    <t>西方鼓吹女权主义</t>
    <phoneticPr fontId="6" type="noConversion"/>
  </si>
  <si>
    <t>为了打压中国男性</t>
    <phoneticPr fontId="6" type="noConversion"/>
  </si>
  <si>
    <t>满清篡改宋史，将开头 中间 结尾的几个年号保留，其他删除。导致宋每个年号特别短，日食特别多</t>
    <phoneticPr fontId="6" type="noConversion"/>
  </si>
  <si>
    <t>满清皇帝可能是西方人长相，可能发源地在北欧</t>
    <phoneticPr fontId="6" type="noConversion"/>
  </si>
  <si>
    <t>楼兰在古诗里有万里之遥，可能在欧洲</t>
    <phoneticPr fontId="6" type="noConversion"/>
  </si>
  <si>
    <t>hsbc汇丰银行名为“上海香港银行集团”，承担主要的清朝搬财产的任务</t>
    <phoneticPr fontId="6" type="noConversion"/>
  </si>
  <si>
    <t>满清签条约实则搬运财产，非洲小国都能打败仗，而且拍照都是c位</t>
    <phoneticPr fontId="6" type="noConversion"/>
  </si>
  <si>
    <t>满清签条约造成白银大量外流并贬值</t>
    <phoneticPr fontId="6" type="noConversion"/>
  </si>
  <si>
    <t>提倡汉族火葬，计划生育的官员专家是满族</t>
    <phoneticPr fontId="6" type="noConversion"/>
  </si>
  <si>
    <t>隋唐收税2个州，宋7个，刚好凑成九州。</t>
    <phoneticPr fontId="6" type="noConversion"/>
  </si>
  <si>
    <t>满清深刻渗透和腐化了民国，同样也渗透了共和国</t>
    <phoneticPr fontId="6" type="noConversion"/>
  </si>
  <si>
    <t>西方鼓吹非洲是人类起源</t>
    <phoneticPr fontId="6" type="noConversion"/>
  </si>
  <si>
    <t>中国才是人类起源，中国人分化出其他品种</t>
    <phoneticPr fontId="6" type="noConversion"/>
  </si>
  <si>
    <t>邓的先祖是邓时敏，清朝官员 可以看作是走资派上台，大量被打倒的坏人被平反，军队开始经商</t>
    <phoneticPr fontId="6" type="noConversion"/>
  </si>
  <si>
    <t>明朝很可能除了没有电，跟现代生活无异。满清上台比想象中更惨烈</t>
    <phoneticPr fontId="6" type="noConversion"/>
  </si>
  <si>
    <t>清朝任用外国人做钦天监，囚禁知识，销毁书籍，送科技给西方崛起，满清可能是西方扶持的代理人</t>
    <phoneticPr fontId="6" type="noConversion"/>
  </si>
  <si>
    <t>清朝疆域被夸大，明朝和其他汉人王朝版图被缩小，明朝几乎统治欧洲</t>
    <phoneticPr fontId="6" type="noConversion"/>
  </si>
  <si>
    <t>汉字简化工作有满清余孽混进去了，很多字十分有问题，例如汉，龙，华</t>
    <phoneticPr fontId="6" type="noConversion"/>
  </si>
  <si>
    <t>年代区间（开始→结束）</t>
  </si>
  <si>
    <t>东亚</t>
  </si>
  <si>
    <t>西亚</t>
  </si>
  <si>
    <t>欧洲</t>
  </si>
  <si>
    <t>美洲</t>
  </si>
  <si>
    <t>其他</t>
  </si>
  <si>
    <t>公元前21466年</t>
  </si>
  <si>
    <t>（史前旧石器时代晚期，西伯利亚/华北及华南细石器—石叶工业广泛分布；末次盛冰期前后人群反复进退；尚无文字，无“王朝/国家”级可考事件）</t>
  </si>
  <si>
    <t>（黎凡特/安纳托利亚仍以狩猎采集为主，Natufian文化尚未形成；无城市/国家）</t>
  </si>
  <si>
    <t>（西欧为旧石器晚期马格德林/格拉维特等狩猎采集圈；克罗马农人传统；冰盖仍覆盖北欧大部）</t>
  </si>
  <si>
    <t>（末次盛冰期前后，白令陆桥暴露，古印第安人祖先经白令陆桥进入美洲并沿冰盖南缘走廊向南扩散；克洛维斯传统前身/早期石器散布）</t>
  </si>
  <si>
    <t>（非洲仍处在晚旧石器复杂狩猎采集网络；撒哈拉当时部分更湿润/部分更干交替；澳洲原住民已长期定居并扩张至全大陆）</t>
  </si>
  <si>
    <t>公元前21466年 → 公元前18966年</t>
  </si>
  <si>
    <t>（华北/华南细石器技术继续演化；高纬度地区随气候波动出现短期居住/迁移动态；无国家事件）</t>
  </si>
  <si>
    <t>（西亚新月带仍以大型猎物+采集为主；季节性营地体系强化；未见永久农业村落）</t>
  </si>
  <si>
    <t>（欧洲冰缘地带人群围绕猛犸草原等生态带迁移；洞穴艺术/仪式地点继续使用；冰盖逐步波动退缩）</t>
  </si>
  <si>
    <t>（美洲最早南方扩散路径上出现早期石器营地遗址群（如南美蒙特沃德层位指示更早到达）；适应多样化生态：高原—热带雨林—沿海）</t>
  </si>
  <si>
    <t>（非洲继续发展各类石叶/细石器组合；跨区域原料交换网（例如黑曜石等）开始出现雏形；澳洲原住民拓展沙漠腹地水道体系）</t>
  </si>
  <si>
    <t>公元前18966年 → 公元前16966年</t>
  </si>
  <si>
    <t>（末次盛冰期高峰后逐渐转暖；东亚北方冻原—草原带南缘人群随动物群北撤而调整；长江流域及以南湿地资源利用增强）</t>
  </si>
  <si>
    <t>（黎凡特/扎格罗斯等地仍以采集为主；但某些植物（野生大麦/小麦近缘种）被更强力地管理与“试探性”利用，仍未达“农业革命”）</t>
  </si>
  <si>
    <t>（西欧冰盖开始明显退缩；马格德林文化晚期；北部冰川湖/河流重组；人类向北重新拓殖）</t>
  </si>
  <si>
    <t>（冰盖退却、通道打开后，美洲人口进一步向南填充；沿海线上升前老岸线遗址多已被淹，能见到的是内陆高阶地遗存）</t>
  </si>
  <si>
    <t>（北非—撒哈拉带出现更湿润阶段（Aterian/后续过渡），大象等大型动物群变化；人类沿绿洲链迁移）</t>
  </si>
  <si>
    <t>公元前16966年 → 公元前15466年</t>
  </si>
  <si>
    <t>（冰后期回暖加速；东亚北方森林线北移；黄河/长江上游阶地出现更多长期营地/石器加工点；但仍为狩猎采集）</t>
  </si>
  <si>
    <t>（纳吐夫/纳吐夫化倾向在黎凡特出现（半定居采集村雏形），以野生谷物、狩猎、磨石使用为特征——这是后来新石器“前奏”）</t>
  </si>
  <si>
    <t>（北欧冰盖仍覆盖斯堪的纳维亚大部；南欧岩棚/河谷聚落增多；马具/弓箭类微技继续演进）</t>
  </si>
  <si>
    <t>（美洲广泛出现多样化石器传统（非单一“克洛维斯唯一论”更被接受）；人群到达巴塔哥尼亚最南端附近；沿海贝丘开始形成）</t>
  </si>
  <si>
    <t>（非洲西北部与萨赫勒带草地扩展；大型有蹄动物群重组；人类社会网络扩大）</t>
  </si>
  <si>
    <t>公元前15466年 → 公元前14466年</t>
  </si>
  <si>
    <t>（气候不稳定期（新旧仙女木类波动）影响季风与降水梯度；东亚山地—盆地间人群季节性迁移模式更固化）</t>
  </si>
  <si>
    <t>（纳吐夫型社群继续占据黎凡特高地/谷地；磨盘、镰形器、石臼增多；社会复杂度缓慢抬升，但仍无陶/家畜全套）</t>
  </si>
  <si>
    <t>（旧石器向中石器/后冰期采集狩猎过渡在欧洲南—北梯度推进；丹麦/波罗的海岸线还很靠南）</t>
  </si>
  <si>
    <t>（北美大平原巨型动物群衰退（人+气候双重压力讨论）；人群转向更广食谱与小型猎物；聚落更分散）</t>
  </si>
  <si>
    <t>（非洲撒哈拉脉动向湿—干摆动；尼罗谷地开始出现更稳定的人类线状聚集点（远早于法老时代））</t>
  </si>
  <si>
    <t>公元前14466年 → 公元前12466年</t>
  </si>
  <si>
    <t>（全新世初段；黄河中游与华北平原边缘出现更稳定的石器营地；华北部分遗址可见磨制趋势/石斧雏胚）</t>
  </si>
  <si>
    <t>（新月地带进入“前陶新石器”阶段（如PPNA脉络）：固定泥砖房/塔楼式聚落（如Jericho层位雏形）、储藏坑、祭祀建筑雏形；野生谷物管理加强）</t>
  </si>
  <si>
    <t>（欧洲中石器时代（Mesolithic）扩开：森林扩张，湖泊居址（pile dwellings前身环境）、独木舟/鱼栅、犬驯化常见）</t>
  </si>
  <si>
    <t>（美洲西北海岸形成丰富海洋资源利用体系（鱼/海兽/贝类）；西南/东部林地发展半定居采集循环）</t>
  </si>
  <si>
    <t>（非洲尼罗走廊在全新世湿润期更“绿色”，促进南北向交流；撒哈拉岩画期反映牛/羚羊/人群车驾/舞蹈场景（后期叠加））</t>
  </si>
  <si>
    <t>公元前12466年 → 公元前12066年</t>
  </si>
  <si>
    <t>（华北/江南山地继续“广谱革命”：坚果、根茎、鱼类资源稳定化；磨制石器与骨角器更常见；尚无稻粟明确驯化证据）</t>
  </si>
  <si>
    <t>（PPNA继续：聚落规模稍增；远程黑曜石交换网与头骨处理/仪式行为更显；仍少系统灌溉）</t>
  </si>
  <si>
    <t>（北欧冰盖持续退却；波罗的冰湖向大洋泄水、盐度剧变；人类沿新生岸线重建栖居）</t>
  </si>
  <si>
    <t>（更多证据显示南美安第斯高地与海岸线之间循环迁徙；早期块根作物管理/海鸟粪利用可能萌芽）</t>
  </si>
  <si>
    <t>（北非岩画群出现牛科主题；萨赫勒带草原通达性提高，社群间长距离交换（颜料/贝壳）更常见）</t>
  </si>
  <si>
    <t>公元前12066年 → 公元前11466年</t>
  </si>
  <si>
    <t>（约这一万出头的“模糊带”里：中国北方黍/南方稻的驯化仍在长时段过程中，并不以某一年为界；磁山/裴李岗/贾湖等文化的“最终形态”要更晚）</t>
  </si>
  <si>
    <r>
      <t>（约10000–9500BP前后：真正的“新石器包”（栽培小麦/大麦、羊/猪驯化、泥砖村庄、无陶或有最早简陋陶）在新月带多点展开；Jericho/Neval</t>
    </r>
    <r>
      <rPr>
        <sz val="11"/>
        <color theme="1"/>
        <rFont val="宋体"/>
        <family val="1"/>
        <scheme val="minor"/>
      </rPr>
      <t>ı</t>
    </r>
    <r>
      <rPr>
        <sz val="11"/>
        <color theme="1"/>
        <rFont val="宋体"/>
        <charset val="134"/>
        <scheme val="minor"/>
      </rPr>
      <t xml:space="preserve"> Çori/Göbekli Tepe层位属于这类更早宗教—公共工程现象）</t>
    </r>
  </si>
  <si>
    <t>（欧洲中石器人群靠海产与森林资源；巴尔干/希腊南部更易接到近东“新石器火种”；但主体仍是采集狩猎直到后来的Linearbandkeramik推进）</t>
  </si>
  <si>
    <t>（美洲早期园艺/管理：中美与南美的南瓜/豆类/辣椒/木薯等驯化是数千年级过程，不必设“事件日”；可说：各地社群开始做种子选优与半园圃式种植）</t>
  </si>
  <si>
    <t>（努比亚/上尼罗的群体在更稳定的河谷环境中发展石工业与墓葬习惯（远早于王朝）；撒哈拉仍为绿色廊道）</t>
  </si>
  <si>
    <t>公元前11466年 → 公元前11066年</t>
  </si>
  <si>
    <t>（全新世早期东亚遗址的“定居倾向”增强：半地穴房、火塘区、工具集中区；社群等级仍极低）</t>
  </si>
  <si>
    <t>（陶出现早的新月带边缘点或试验性烧土容器；绵羊/山羊管理更系统化；公共祭祀建筑继续（Göbekli式传统））</t>
  </si>
  <si>
    <t>（北欧冰后期海平面与湖海转换剧烈；英国仍连欧洲；斯堪的纳维亚冰盖还在融化）</t>
  </si>
  <si>
    <t>（密西西比以东林地形成更复杂的贝丘序列；西南高原砾石掩蔽所继续累积文化层）</t>
  </si>
  <si>
    <t>（北非“湿地萨赫勒期”使人群更内嵌于湖链；尼罗峡谷成为关键轴向走廊）</t>
  </si>
  <si>
    <t>公元前11066年 → 公元前8066年</t>
  </si>
  <si>
    <t>（中国新石器早期：华北黍作+猪狗驯化圈（磁山/裴李岗/后李等脉络）、长江流域稻作管理/初步驯化（彭头山/仙人洞等脉络）逐步成型；定居村落、磨制石器、陶器普及；氏族墓地出现）</t>
  </si>
  <si>
    <t>（西亚陶新石器（PPNB）：村庄广布、灌溉/水渠雏形、牛/羊/小麦—大麦系统确立；Çatalhöyük/‘Ain Ghazal等大型社群；宗教雕像与头骨 plaster 习俗；气候8.2ka事件造成压力波动）</t>
  </si>
  <si>
    <t>（欧洲被LBK（线性陶文化）从巴尔干向北欧推进带入农耕/畜牧；巨石墓/木道/湖居环境成型；森林砍伐最早痕迹出现）</t>
  </si>
  <si>
    <t>（美洲多地独立驯化/管理：中美洲玉米（teosinte→maize漫长选育）、豆类、棉花；安第斯马铃薯/藜麦/羊驼犬驯化；形成高原—海岸交换轴）</t>
  </si>
  <si>
    <t>（非洲尼罗谷从“文化群”走向更稳的群体聚合；撒哈拉岩画“牧牛期”反映牛畜化（仍争论野生捕养与真正驯化时间）；太平洋岛屿尚未被人类到达）</t>
  </si>
  <si>
    <t>公元前8066年 → 公元前6766年</t>
  </si>
  <si>
    <t>（仰韶文化早期—中期脉络（渭河/黄河中游彩陶、氏族聚落、粟作农业、猪狗鸡、氏族公共墓地；半坡类型代表）；长江流域同期干栏聚落/稻作扩展）</t>
  </si>
  <si>
    <t>（美索不达米亚冲积平原：灌溉农业支撑更大聚落；氏族—酋邦向早期城市过渡（Eridu、Tell el-'Obeid前驱）；神庙建筑台基化；铜小件/石器并行）</t>
  </si>
  <si>
    <r>
      <t>（东南欧/保加利亚/罗马尼亚铜时代文化（Vin</t>
    </r>
    <r>
      <rPr>
        <sz val="11"/>
        <color theme="1"/>
        <rFont val="宋体"/>
        <family val="1"/>
        <scheme val="minor"/>
      </rPr>
      <t>č</t>
    </r>
    <r>
      <rPr>
        <sz val="11"/>
        <color theme="1"/>
        <rFont val="宋体"/>
        <charset val="134"/>
        <scheme val="minor"/>
      </rPr>
      <t>a等）出现：规整聚落规划、祭仪塑像、疑似“proto-writing”记号；巨石传统西扩）</t>
    </r>
  </si>
  <si>
    <t>（美洲：形成更稳的“古中部美洲”祭祀/广场传统（如Olmec前身的根基：San Lorenzo区域社会分层积累）；南美沿海灌溉谷地聚落变大）</t>
  </si>
  <si>
    <t>（埃及前王朝：Badarian/Naqada I-II：黑顶陶、石皿、公牛崇拜、上埃及部落联盟整合加速；尼罗航运把上下埃及拉成一条文明轴）</t>
  </si>
  <si>
    <t>公元前6766年 → 公元前6266年</t>
  </si>
  <si>
    <t>（仰韶中后期；氏族社会内部分化迹象（墓随葬差异、中心聚落出现）；黄河下游大汶口文化早期脉络也在此带附近开始酝酿）</t>
  </si>
  <si>
    <t>（乌鲁克时期前夜：神庙经济、桶罐轮制陶、印章雏形；南方苏美尔城邦格局在孕育；幼发拉底/底格里斯水利网络扩张）</t>
  </si>
  <si>
    <t>（欧洲铜/青铜过渡；大西洋岸巨石阵列（Carnac等）建设高峰；乌克兰草原颜那亚（Yamnaya）游牧—马车复合体形成并向西扩散（语言/基因层面大事件））</t>
  </si>
  <si>
    <t>（Olmec核心：圣洛伦佐平台/玄武岩头像等大型土方与雕塑工程；出现统治者象征与美洲豹—人神复合意象；巧克力/橡胶 ritual 消费线索）</t>
  </si>
  <si>
    <t>（埃及 Naqada III→早王朝整合：那尔迈调色板代表的上下埃及统一叙事形成；孟菲斯为王都轴；象形文字、王衔、国家官僚雏形）</t>
  </si>
  <si>
    <t>公元前6266年 → 公元前5566年</t>
  </si>
  <si>
    <t>（这时你标尺仍停在“公元前4000+”，对应中国：龙山化前夜的北方—东方多支文化（庙底沟二期/大汶口中段/良渚前期萌芽），但我按你数字直写：此区间≈前4300–前3600，则更贴近仰韶晚期—庙底沟类型外扩与区域分化）</t>
  </si>
  <si>
    <t>（苏美尔早王朝（Early Dynastic）城邦竞争：基什/乌尔/拉格什/乌鲁克等；楔形文字从账本→行政文书；战车/头盔/神庙塔庙（ziggurat前身）定型）</t>
  </si>
  <si>
    <t>（欧洲的“绳纹陶/钟杯战斧复合体（Corded Ware）/巨石坟”把印欧畜牧—父系—青铜带到北欧西欧；爱琴海 Cycladic 文化造大理石偶像与海岛航路网）</t>
  </si>
  <si>
    <t>（Olmec：拉文塔礼仪中心（祭祀轴线、绿石面具/贡品、美洲豹祭仪）；中美洲长计历法/球赛仪式圈的社会功能深化）</t>
  </si>
  <si>
    <t>（埃及古王国初期—左塞尔阶梯金字塔建（Saqqara）、第三王朝起；石建筑行政化：采石/运输/工匠村（如Giza前驱））</t>
  </si>
  <si>
    <t>公元前5566年 → 公元前4966年</t>
  </si>
  <si>
    <t>（换算≈前3600–前3000：中国大体处于“铜石并用/龙山化前夜”，红山/凌家滩/良渚更早层位在更北/更东；仰韶晚期聚落网密集、祭坛平台与玉礼器雏形多见）</t>
  </si>
  <si>
    <t>（早王朝城邦战争与同盟；卢加尔（王权）叙事强化；吉尔伽美什史诗素材沉淀；苏美尔制定更精细度量衡/历法与学校（edubba））</t>
  </si>
  <si>
    <t>（克里特岛进入早宫殿前阶段（EM II）；希腊大陆 Helladic 村落壮大；金属贸易（锡/铜/银）把爱琴与安纳托利亚/ Balkans 绑成网络）</t>
  </si>
  <si>
    <t>（安第斯形成海岸灌溉城邦式神权中心（如Caral/ Norte Chico：大平台、太阳神殿、集体劳力动员；无陶/无金属但靠棉织与海鸟粪肥））</t>
  </si>
  <si>
    <t>（埃及古王国（第三—第四王朝）：吉萨大金字塔群建造（胡夫/哈夫拉/门考雷）；太阳神Ra祭司集团崛起；各省 nomarch 权力增长）</t>
  </si>
  <si>
    <t>公元前4966年 → 公元前4446年</t>
  </si>
  <si>
    <t>（≈前3000–前2480：黄河/长江流域进入“龙山化/早期邦国”阶段：城址（如王城岗/古城寨/城子崖线索层位）、蛋壳陶、卜骨、玉兵/玉礼、战争防御墙增多）</t>
  </si>
  <si>
    <t>（阿卡德帝国（Sargon of Akkad）统一美索不达米亚；帝国治理：总督制、道路/驿传、闪语上层；但也因干旱/游牧压力与内耗衰败）</t>
  </si>
  <si>
    <t>（欧洲早期青铜 Age：Aegean 进入 Protopalatial/ Old Palace 克里特（Knossos/Phaistos）；希腊本土早期阶梯祭坛；爱尔兰铜矿—布列塔尼锡贸易网）</t>
  </si>
  <si>
    <t>（中美洲进入“前古典中期”：玛雅低地最早长期纪念碑纪年（Tikal/Kaminaljuyu等）；特奥蒂瓦坎山谷聚落集聚开始酝酿）</t>
  </si>
  <si>
    <t>（古埃及第四—第六王朝：金字塔铭文、地方权力（nomarch）坐大导致中央弱化；第一次中间期前夕的饥荒/尼罗低水常被关联）</t>
  </si>
  <si>
    <t>公元前4446年 → 公元前4413年</t>
  </si>
  <si>
    <t>（≈前2480–前2447：龙山各群更频繁冲突与结盟；黄河改道/泛滥传说层与治水英雄叙事（鲧禹母题）在此后时代沉淀）</t>
  </si>
  <si>
    <t>（古提人/东部山地族群冲击阿卡德秩序；苏美尔城邦复辟（Ur III还没到）；拉格什的Gudea建神庙/铭文自述虔诚与工程）</t>
  </si>
  <si>
    <t>（爱琴/安纳托利亚：Hattic 城市（如 Hattusha 前居民群）与克里特宫殿经济并存；巴尔干铜矿供应链关键）</t>
  </si>
  <si>
    <t>（玛雅低地持续树碑立传；特奥蒂瓦坎的“羽蛇金字塔”前体平台群逐步形成；中美洲黑曜石交换网络收紧）</t>
  </si>
  <si>
    <t>（古埃及：佩皮一世/佩皮二世长期统治、中央权威摇摆；努比亚联系加深；随后进入第一中间期战乱/割据叙事）</t>
  </si>
  <si>
    <t>公元前4413年 → 公元前4313年</t>
  </si>
  <si>
    <t>（≈前2447–前2347：黄河流域多中心城网；战争防御工程与精英墓葬等级化；南方石家河/良渚在“更南”但时间上良渚高峰略早或更叠代，我按你数字框写“城址联盟与礼仪中心化”）</t>
  </si>
  <si>
    <t>（乌尔第三王朝（Ur-Nammu）建立法典石碑雏形与统一度量；济加尔金字塔（Ziggurat of Ur）重建；苏美尔语变祭仪/学术语，日常语转阿卡德）</t>
  </si>
  <si>
    <t>（欧洲 Early Bronze：Unetice 文化（中欧）形成更稳的贵族武器/金饰/贸易；爱琴岛屿形成更紧航标链）</t>
  </si>
  <si>
    <t>（特奥蒂瓦坎区域人口更集中；玛雅碑文纪年制度化；安第斯沿海河谷灌溉政治更复杂）</t>
  </si>
  <si>
    <t>（埃及第一中间期：地方 nomarch 自立、内战叙事；《死者之书》前身文本流行；底比斯势力慢慢抬头）</t>
  </si>
  <si>
    <t>公元前4313年 → 公元前4229年</t>
  </si>
  <si>
    <t>（≈前2347–前2260：传统“夏纪年争议带”前后；二里头文化真正成熟更偏“前1900–前1500”，此处只宜写：中原龙山后期出现大型盟主式政治体与治水/征伐叙事）</t>
  </si>
  <si>
    <t>（伊辛/拉尔萨/巴比伦早期诸小王朝争霸；埃兰时而压境；汉谟拉比还没登场；但法典思维与神权王权合一修辞更成熟）</t>
  </si>
  <si>
    <t>（希腊本土进入早希腊 Bronze（EH III/MH 过渡）；克里特进入 Neopalatial 高峰：线形A、壁画、外交（阿马尔那前）与地震/火灾风险并存）</t>
  </si>
  <si>
    <t>（玛雅：更多城市设“长计历”零基准（3114BC理论，但城市实践在前古典末—古典初展开）；美洲虎祭仪与球场系统扩散）</t>
  </si>
  <si>
    <t>（埃及中王国建立（11th/12th Dynasty 按你这标尺会错位：真实里是约前2050起；但你这格≈前23–22世纪，我就写：若按你数字框则是“第一中间期末期—门图霍特普二世重新统一”的叙述位置））</t>
  </si>
  <si>
    <t>公元前4229年 → 公元前4151年</t>
  </si>
  <si>
    <t>（≈前2260–前2182：黄河泛滥/气候干冷波动假说常被学者拿来解释“华夏传说中大洪水/政权转移”的沉积背景；仍无同时代文字可证夏）</t>
  </si>
  <si>
    <t>（巴比伦初兴：阿米萨杜卡/萨姆苏伊鲁纳之类动荡；同时埃什南纳/马里等城邦档案显示长途商路（锡/织物/奴隶）与外交联姻）</t>
  </si>
  <si>
    <t>（爱琴：Minoan “ eruption of Thera（Santorini）” 大致落在前17世纪左右（≠你这标尺；但在更晚才毁宫），这格更应写：中欧 Unetice 黄金窖藏/武器贵族化、局部冲突升级）</t>
  </si>
  <si>
    <t>（Olmec传统的圣地记忆被后代继承；特奥蒂瓦坎走向更集中化；南美沿海灌溉谷地出现战俘/人祭线索）</t>
  </si>
  <si>
    <t>（埃及：古王国彻底瓦解后的割据；游牧渗入侵扰边境；尼罗水位不稳加重饥荒叙事）</t>
  </si>
  <si>
    <t>公元前4151年 → 公元前4081年</t>
  </si>
  <si>
    <t>（≈前2182–前2112：中原仍处龙山多中心竞争；西北齐家文化带（铜器/双耳罐/占卜骨）开始渗入走廊；玉礼器网络跨区交换）</t>
  </si>
  <si>
    <t>（美索不达米亚：乌尔第三王朝衰亡后，各城重争霸权；亚述早期商站网络（kārum）开始在安纳托利亚边缘运作）</t>
  </si>
  <si>
    <t>（巴尔干—喀尔巴阡转向更成熟的青铜冶炼；大西洋岸继续巨石陵庙传统；意大利铜石并用（Remedello等））</t>
  </si>
  <si>
    <t>（特奥蒂瓦坎成为超区域祭祀—交换枢纽（黑曜石源控制）；玛雅低地出现更多纪念碑与dynastic list叙事）</t>
  </si>
  <si>
    <t>（努比亚与埃及互动更复杂：努比亚首领获埃及货/风格，又反过来施压；红海沿岸贸易小站增多）</t>
  </si>
  <si>
    <t>公元前4081年 → 公元前4072年</t>
  </si>
  <si>
    <t>（≈前2112–前2103：这段只有9年，按你标尺更像“短区间占位”，我就写：中原龙山晚期城址联盟继续；传说史学把“禹合诸侯”式叙事放在相近时代）</t>
  </si>
  <si>
    <t>（伊辛/拉尔萨争霸；尼普尔仍宗教轴；巴比伦还不大；但祭司与王的合作模板已稳定）</t>
  </si>
  <si>
    <t>（爱琴与安纳托利亚：Hittite 前体（Hattic/Hatti）与 Assyrian 商站（Kanesh/karum）共同塑造 later 安纳托利亚强权条件）</t>
  </si>
  <si>
    <t>（中美洲：Teotihuacan 的 Ciudadela 与 Feathered Serpent 建筑群的仪式奠基（大致在真实前2–前1世纪交界更合适，这里按你框写“中心奠基叙事”）</t>
  </si>
  <si>
    <t>（埃及 11–12王朝中王国巩固：法老作为军事—税收—神庙复合体首脑；行省官（nomarch）被收回兵权与土地）</t>
  </si>
  <si>
    <t>公元前4072年 → 公元前3974年</t>
  </si>
  <si>
    <t>（≈前2103–前2002：二里头文化（偃师二里头）出现宫殿区、青铜爵/戈范、绿松石龙形器等“广域王权”符号；学界倾向把它视作“最早王朝国家”候选，但夏商分界仍争）</t>
  </si>
  <si>
    <t>（汉谟拉比（约前1792–前1750真实）在你标尺里会错位；若按你数字：就写巴比伦崛起、法典石碑、马尔杜克抬升为国神、运河网与城墙工程集中）</t>
  </si>
  <si>
    <t>（克里特 Minoan 文明在真实前1450±受严重破坏（Mycenaean接管）；但你这格偏早，只能写：希腊本土 Mycenean 城堡（Tiryns/Mycenae 墙/圆墓）成形）</t>
  </si>
  <si>
    <t>（玛雅古典期机制（dynastic rule、战俘球赛/血祭、天文历）在制度上被“前代模板”锁定；安第斯 Caral 后继者转进更成熟谷地国家）</t>
  </si>
  <si>
    <t>（埃及中王国后期：亚洲移民/希克索斯渗入三角洲；底比斯与三角洲对抗；十二王朝末的中央集权下滑）</t>
  </si>
  <si>
    <t>公元前3974年 → 公元前3924年</t>
  </si>
  <si>
    <t>（≈前2002–前1952：二里头二期—三期左右：青铜礼容器铸造体系、四合院宫殿轴线、对周边（东夷/江汉/晋南）投射影响力；郑州商城（二里岗）的前身网络还在孕育）</t>
  </si>
  <si>
    <t>（古巴比伦与拉尔萨、埃什南纳等最后角力；古地海（波斯湾）船队与“迪尔蒙（Dilmun）/马干（Magan）”贸易文献化；汉谟拉比法典铭文宣示秩序）</t>
  </si>
  <si>
    <t>（迈锡尼文明扩张：线形B（希腊语）出现在克里特Knossos存档（真实约前1450后）；但你这格提前，那就写：希腊大陆武器贵族化、蜂窝墓/金面具传统成型）</t>
  </si>
  <si>
    <t>（特奥蒂瓦坎人口峰值：多层公寓街区、月亮金字塔扩建、大规模献祭与“战星”人像捆绑；玛雅多城竞逐）</t>
  </si>
  <si>
    <t>（埃及第二中间期：希克索斯建都阿瓦里斯、引入复合弓/战车/新青铜工艺；努比亚关系转为更复杂博弈）</t>
  </si>
  <si>
    <t>公元前3924年 → 公元前3454年</t>
  </si>
  <si>
    <t>（≈前1952–前1484：商（二里岗—殷墟）：郑州商城→小双桥→安阳殷墟；甲骨文字、人牲人祭、青铜鼎爵觚斝体系、马车、内服外敷边服结构；盘庚迁殷前后动荡）</t>
  </si>
  <si>
    <t>（加喜特巴比伦/米坦尼/中亚述/喀西特；赫梯崛起（哈图西里一世/穆尔西里一世洗掠巴比伦）；《赫梯法典》、铁器初现；乌加里特字母/阿马尔那外交）</t>
  </si>
  <si>
    <t>（希腊：特洛伊战争叙事层（约前13–前12世纪大崩溃背景）；海上民族冲击埃及与东地中海；欧洲青铜衰落→Hallstatt铁器过渡）</t>
  </si>
  <si>
    <t>（玛雅古典期：蒂卡尔/卡拉克穆尔/帕伦克等 dynastic wars；球赛球场、象形文字阶梯；特奥蒂瓦坎与玛雅有远距离接触证据）</t>
  </si>
  <si>
    <t>（埃及新王国：18王朝（雅赫摩斯赶走希克索斯）→图特摩斯三世帝国→阿玛尔纳改革（埃赫那顿一神风潮）→拉美西斯二世 vs赫梯（卡迭石）→祭司夺权衰退）</t>
  </si>
  <si>
    <t>公元前3454年 → 公元前2900年</t>
  </si>
  <si>
    <t>（≈前1484–前930：商末（帝乙/帝辛）征东夷、周人崛起；武王克商→西周封建/宗法/分封/天命观；厉王专利与彘之乱→共和行政→平王东迁（前770）开启春秋）</t>
  </si>
  <si>
    <t>（腓尼基建迦太基（约前814叙述）/推字母与紫红染料贸易；亚述帝国再起（提格拉特帕拉沙尔三世）；新巴比伦（尼布甲尼撒）毁耶路撒冷圣殿；居鲁士建波斯阿契美尼德）</t>
  </si>
  <si>
    <t>（希腊 Dark Ages→城邦复兴（重装步兵/公民军）、奥林匹克纪年（前776叙事）、雅典梭伦/克里斯提尼改革；罗马王政→共和（布匿战争前））</t>
  </si>
  <si>
    <t>（玛雅：多城结盟与“星战”周期；安第斯 Tiwanaku 与 Wari 高原帝国化（梯田/道路/省城）；北美密西西比文化（Cahokia 土岗城）兴起）</t>
  </si>
  <si>
    <t>（埃及：19–20王朝拉美西斯帝国后衰退；利比亚/努比亚/亚述先后入主；波斯治埃；托勒密王朝要等到亚历山大后（前332））</t>
  </si>
  <si>
    <t>公元前2900年 → 公元前2625年</t>
  </si>
  <si>
    <t>（春秋：郑庄小霸、齐桓/晋文称霸、弭兵会；铁器普及、私田与县制萌芽、士阶层流动；老子/孔子活跃于春秋末）</t>
  </si>
  <si>
    <t>（波斯帝国（大流士）建皇家大道/驿站、行省、统一币制；希腊与波斯交锋（马拉松/温泉关/萨拉米斯）；雅典提洛同盟与民主极端化）</t>
  </si>
  <si>
    <t>（希腊：希波战争→提洛同盟→伯里克利黄金时代（帕特农重建）；伯罗奔尼撒战争（雅典 vs 斯巴达）；马acedon 还边缘）</t>
  </si>
  <si>
    <t>（玛雅继续 dynastic 竞逐；安第斯 Wari/Tiwanaku 扩展；北美霍普韦尔（Hopewell）仪式交换网（铜/云母/海贝壳）发达）</t>
  </si>
  <si>
    <t>（印度：十六大国（Mahajanapadas）争雄；佛陀/大雄（耆那）在世；波斯侵入印度河流域（Gandhara）；亚历山大到印度河（前326）触发后续混乱）</t>
  </si>
  <si>
    <t>公元前2625年 → 公元前2076年</t>
  </si>
  <si>
    <t>（战国：三家分晋、田氏代齐；商鞅变法（秦中央集权机器）、合纵连横、长平之战；百家争鸣（儒墨道法兵名阴阳）；秦灭六国（前221）建帝制）</t>
  </si>
  <si>
    <t>（亚历山之东征（前334–前323）灭波斯、到印度河；继业者王国（塞琉古/托勒密）；帕提亚（Arsacid）从游牧边镇起家反塞琉古；犹太马加比起义）</t>
  </si>
  <si>
    <t>（希腊化：亚历山大城建图书馆/学术；罗马灭迦太基（前146）与科林斯同一年“定调地中海主宰”；格拉古兄弟改革→苏拉独裁→庞培/凯撒→奥古斯都）</t>
  </si>
  <si>
    <t>（玛雅古典期中段：多城石刻历法高峰；安第斯继续梯田帝国；南美沿海 Moche 神庙与武士—祭司浮雕（但无文字）繁荣）</t>
  </si>
  <si>
    <t>（孔雀帝国（Chandragupta→Ashoka）统一北印、石柱敕令推广 Dharma；后碎成 SATRAP/萨塔瓦哈纳；丝路南路到印度河口活跃）</t>
  </si>
  <si>
    <t>公元前2076年 → 公元前2062年</t>
  </si>
  <si>
    <t>（秦末：二世昏暴、陈胜吴广（前209）→项羽刘邦并起；巨鹿之战（前207叙事）与“约法三章”；关中入咸阳前后）</t>
  </si>
  <si>
    <t>（塞琉古与托勒密争夺柯里叙利亚；犹太人仍处在希腊化压迫/马accabee酝酿期；帕提亚继续蚕食塞琉古东部）</t>
  </si>
  <si>
    <t>（罗马：苏拉体制残响；前三头（凯撒/庞培/克拉苏）失衡中的短暂态；凯撒在高卢已成“不可控副王”）</t>
  </si>
  <si>
    <t>（玛雅低地城市仍在碑铭政权竞争中；安第斯 Moche 灌溉渠道网与地方战争/献祭仪式继续）</t>
  </si>
  <si>
    <t>（孔雀帝国 Ashoka 孙辈衰退；希腊—巴克特里亚（Greco-Bactrian）南下到喀布尔/犍陀罗；早期 Silk Road 节点更稳）</t>
  </si>
  <si>
    <t>公元前2062年 → 公元前878年</t>
  </si>
  <si>
    <t>（西汉建立：刘邦称帝（前202）→文景之治；七国之乱（前154）→汉武帝：推恩令/盐铁专卖/独尊儒术/击匈奴/丝绸之路凿空（张骞）；王莽篡汉（AD 9）→光武中兴）</t>
  </si>
  <si>
    <t>（帕提亚与罗马共和末—帝制初碰撞（卡莱/克拉苏灭）；塞琉古消亡；犹太战争（66–73）毁第二圣殿；萨珊波斯取代帕提亚（224）成罗马死敌）</t>
  </si>
  <si>
    <t>（罗马：奥古斯都→五贤帝（涅尔瓦—图拉真—哈德良—安敦尼—奥勒留）；不列颠长城、达契亚并省；3世纪危机/戴克里先四帝共治）</t>
  </si>
  <si>
    <t>（玛雅：古典期波动（有些城市衰落有些崛起）；安第斯早期中间期碎片化；北美西南部 Pueblo 前体形成；密西西比 Cahokia 前体聚落爬升）</t>
  </si>
  <si>
    <t>（贵霜帝国统北印/犍陀罗（迦腻色伽）；佛教艺术（Gandhara/Mathura）定型；阿克苏姆（Axum）在非洲之角崛起、改用基督教后更强势）</t>
  </si>
  <si>
    <t>公元前878年 → 公元前864年</t>
  </si>
  <si>
    <t>（东汉前期：和帝暂压匈奴、班超定西域；但此时皇权已滑向宦官—外戚拉锯；羌乱消耗财政与边军）</t>
  </si>
  <si>
    <t>（亚述复兴（这个“亚述”已经更早；更合适写：萨珊与罗马边境摩擦常态；犹太/基督社群在帝国内成长；阿拉伯部落附庸体系运作）</t>
  </si>
  <si>
    <t>（罗马共和？不对——这是前9–前8世纪对应罗马王政晚期/共和初酝酿（罗慕路斯/塔奎因叙事）；更可写：希腊古风期殖民潮（叙拉古/马赛利亚等）与重装步兵公民军成型）</t>
  </si>
  <si>
    <t>（玛雅低地仍碑铭纪年；北美西南旱作聚落网络；南美沿海早 intermediate 期谷地小王国互打）</t>
  </si>
  <si>
    <t>（贵霜/ Kushan 仍控丝路南道；阿克苏姆巩固红海两岸贸易；努比亚 Kingdom of Kush（Meroë）冶铁与金字塔葬制继续）</t>
  </si>
  <si>
    <t>公元前864年 → 公元前267年</t>
  </si>
  <si>
    <t>（东汉：外戚宦官十常侍、党锢之祸、黄巾（184）与军阀割据；三国分裂（220魏立→263蜀灭→280晋暂统）；八王之乱→五胡乱华→南北朝对峙框架就快成型）</t>
  </si>
  <si>
    <t>（罗马共和晚—帝制：格拉古→马略改革→苏拉→庞培/凯撒→奥古斯都（前27）→耶稣受难（～30CE）→犹太战争→五贤帝；萨珊取代帕提亚（224）；萨珊vs罗马经典敌对）</t>
  </si>
  <si>
    <t>（欧洲迁徙/蛮族压力与罗马体系内嵌：哥特受匈人压入帝国（378 Adrianople）→西罗马末帝被废（476叙述）；拜占庭续命）</t>
  </si>
  <si>
    <t>（玛雅古典期终端（Classic collapse 复杂成因：干旱/战争/人口）导致佩滕低地许多城弃置；托尔特克（Toltec）在中部墨西哥建图拉（Tula） hegemony 叙事）</t>
  </si>
  <si>
    <t>（印度：笈多（“黄金时代”）数学天文诗法繁荣；之后白匈奴（Huna）冲击；阿克苏姆改基督教；阿拉伯伊斯兰兴起（622/632）将重塑旧世界）</t>
  </si>
  <si>
    <t>公元前267年 → 公元前207年</t>
  </si>
  <si>
    <t>（西汉末—新莽余震→光武再统一算东汉；但按你数字这格=前267→前207其实是战国末期—秦统一前夜：就说：秦灭六国（前221）、书同文车同轨、修驰道长城灵渠、焚书坑儒叙事；南征百越/北击匈奴）</t>
  </si>
  <si>
    <t>（希腊化世界：托勒密/塞琉古互相耗；罗马已走向共和霸权；罗德岛/拜占庭商路；帕提亚吞塞琉古东部；犹太受两边夹）</t>
  </si>
  <si>
    <t>（罗马继续征服意大利半岛、pyrrhic战争、与迦太基第一次布匿；舰队经验把罗马拖成地中海海军）</t>
  </si>
  <si>
    <t>（玛雅 Preclassic→Early Classic 交接（按真实年代这格偏早，只能写：低地纪念碑传统正在铺开；中美洲球赛/历法/美洲豹祭仪制度化）</t>
  </si>
  <si>
    <t>（印度 Nanda 王朝集税机器→亚历山大到印度河→Chandragupta Maurya 借机建帝国/Ashoka 后弘扬佛教；锡兰传入佛教）</t>
  </si>
  <si>
    <t>公元前207年 → 公元前156年</t>
  </si>
  <si>
    <t>（楚汉相争→汉高祖建汉（前202）；吕后称制；文景之治蓄力；对匈奴和亲与边防拉锯）</t>
  </si>
  <si>
    <t>（罗马共和末与帝制前夜：马略/苏拉→庞培/凯撒→前三头破裂→凯撒独裁→被刺（前44）→屋大维vs安东尼（Actium 前31）→前27奥古斯都“恢复共和”实为帝制）</t>
  </si>
  <si>
    <t>（罗马：奥古斯都体制、近卫军/禁卫军、西班牙北部与阿尔卑斯诸战巩固边界；日耳曼尼库斯/瓦鲁斯灾难（Teutoburg 9CE）划定莱茵界）</t>
  </si>
  <si>
    <t>（玛雅：早期古典碑铭更频；安第斯 Qhapaq Ñan（安第斯路网）的“前身河谷级道路”已在 Wari 前体里运作；北美 Hopewell 衰退）</t>
  </si>
  <si>
    <t>（贵霜在月氏骨干部落基础上成帝国；阿克苏姆铸币与碑文（如 Ezana 后基督教化）；丝绸到罗马的间接贸易被中国史料称为“黎轩/大秦”传闻）</t>
  </si>
  <si>
    <t>公元前156年 → 公元前53年</t>
  </si>
  <si>
    <t>（汉武帝盛期：推恩令削藩、盐铁均输、刺史监察、独尊儒术制度化；卫青霍去病扫漠南；张骞二次通西域；巫蛊之祸动摇晚年；昭宣续守）</t>
  </si>
  <si>
    <t>（罗马：奥古斯都继承者提比略→卡利古拉→克劳狄征服不列颠→尼禄奢暴→弗拉维筑斗兽场/平息犹太→图拉真扩到 Dacia/阿拉伯；前53 就是 Carrhae：克拉苏被帕提亚重创）</t>
  </si>
  <si>
    <t>（欧洲行省化：高卢、不列颠南部、莱茵—多瑙防线；日耳曼部落被挡在莱茵外；希腊成文化符号而非军力）</t>
  </si>
  <si>
    <t>（玛雅：蒂卡尔/卡拉克穆尔/卡拉科尔的“星战”同盟与反转叙事在这几百年的不同段落里反复上演；特奥蒂瓦坎可能介入玛雅dynastic 变动）</t>
  </si>
  <si>
    <t>（贵霜鼎盛：迦腻色伽一世召集第四次结集、犍陀罗佛像定型；印度南部 Satavahana 与 Saka 西沙特拉普争夺孔波勒/德干贸易）</t>
  </si>
  <si>
    <t>公元前53年 → 公元116年</t>
  </si>
  <si>
    <t>（西汉昭宣中兴→元帝柔仁→成帝荒嬉→王氏外戚揽权→王莽改制（复古失败）→绿林赤眉→光武中兴（25）定都洛阳；明章二帝北征/西域班超再通）</t>
  </si>
  <si>
    <t>（罗马：图拉真到极限（亚美尼亚/美索不达米亚临时并省，116 占泰西封又急退）；哈德良继位“战略收缩”、建哈德良长城；犹太巴尔·科赫巴起义（132–135）终局）</t>
  </si>
  <si>
    <t>（拜占庭/东方边境与莱茵多瑙双线牵制；基督教从犹太教内争议变成跨省城市信仰社群→殉道叙事→君士坦丁前夜）</t>
  </si>
  <si>
    <t>（玛雅古典：佩滕低地超级城市群（蒂卡尔/帕伦克/卡拉科等）在碑铭里反复结盟与清算；安第斯早 intermediate 期小王国争渠争海鸟粪）</t>
  </si>
  <si>
    <t>（贵霜延续；阿克苏姆更强国（与罗马/印度贸易圈）；萨珊vs罗马继续换将；印度笈多还没到（更后））</t>
  </si>
  <si>
    <t>公元116年</t>
  </si>
  <si>
    <t>（东汉：永初羌乱/党锢反复；顺帝后戚宦更迭；黄巾在酝酿但还早；西域都护时断时续）</t>
  </si>
  <si>
    <t>（罗马：哈德良统治（117–138）定“防守帝国”基调；安敦尼·庇护平稳；马可·奥勒留要面对莱茵多瑙与东方同时吃紧）</t>
  </si>
  <si>
    <t>（欧洲：莱茵/多瑙防线维护、不列颠驻军成本争议、钱币贬值苗头、基督教社群扩大但仍“非法”）</t>
  </si>
  <si>
    <t>公元116年 → 公元169年</t>
  </si>
  <si>
    <t>（东汉中后期：外戚—宦官循环（梁冀→五侯→十常侍）；党锢之祸（166 第一次牵连“大秦使者”传闻）；鲜卑檀石槐联盟成边患；田亩兼并加剧）</t>
  </si>
  <si>
    <t>（罗马：安东尼瘟疫（165–180 可能天花）随远征军回传重创人口与征兵；东部边境与萨珊还没接班（仍帕提亚尾声）；哲学上属“第二诡辩派/皇帝哲学家”时代）</t>
  </si>
  <si>
    <t>（日耳曼部落趁疫/军疲骚扰；行省城市精英文化（小亚细亚/叙利亚）繁荣；高卢里昂等基督社团受镇压）</t>
  </si>
  <si>
    <t>（玛雅：蒂卡尔与卡拉克穆尔“超级大国”互撕；特奥蒂瓦坎对玛雅的影响可能在晚段减弱，特城本身也走向内压（缺水/火祭性破坏））</t>
  </si>
  <si>
    <t>（贵霜继续控制丝路南道；印度案达罗/萨塔瓦哈纳与塞种饱和；阿克苏姆更稳；东西方间接贸易走红海—尼罗—亚历山大）</t>
  </si>
  <si>
    <t>公元169年 → 公元1269年</t>
  </si>
  <si>
    <t>（东汉崩→三国（184黄巾—196挟天子—220魏立）三国鼎立与人口锐减→西晋短暂统（280）—八王乱—永嘉南渡→东晋十六国/北朝南朝并立；北魏孝文帝汉化；隋一度重统（581/589））</t>
  </si>
  <si>
    <t>（萨珊波斯正式取代帕提亚（224）；萨珊 vs 罗马/拜占庭为“两强主轴”；穆罕默德传教（610始/622希吉拉/632逝世）→四大哈里发扩张→伍麦叶→阿拔斯（750）建巴格达（762））</t>
  </si>
  <si>
    <t>（西罗马476叙事性终结→拜占庭扛东线；法兰克墨洛温/加洛林（查理曼800）重构西欧政治；维京（8c末起）突袭改写海岸线与贸易；十字军（1095起）把欧—西亚再次前线化）</t>
  </si>
  <si>
    <t>（玛雅 Postclassic：奇琴伊察/玛雅潘/卡拉克穆尔衰退后的新中心；中部墨西哥 Toltec→Aztec 崛起前夜（Mexica 还在流浪）；安第斯中间期小王国→Chimú 沿北海岸建土城与灌渠）</t>
  </si>
  <si>
    <t>（印度：戒日王（Harsha 606–647）北印短暂集权→后古普塔碎片；南印 Chola（注：朱罗）真正外扩在9–11c；阿拉伯航海把印度洋贸易重排；非洲 Swahili 城邦（7c后）起）</t>
  </si>
  <si>
    <t>公元1269年</t>
  </si>
  <si>
    <t>（南宋后期：蒙古压境；襄阳久围（1267–1273）决定江淮门户；贾似道专权与财政纸币失信；临安朝廷摇摇欲坠）</t>
  </si>
  <si>
    <t>（阿拔斯巴格达被蒙古旭烈兀攻陷（1258）早已发生；1269年更多落在马穆鲁克—伊儿汗国对峙与叙利亚拉锯；十字军据点只剩零星海岸）</t>
  </si>
  <si>
    <t>（欧洲：英法百年战争前期（1337才爆，但法王收权/英王在法领地矛盾已发酵）；教皇与世俗王权之争（阿维尼翁/天主教会分裂前兆）；威尼斯—热那亚海上竞逐）</t>
  </si>
  <si>
    <t>（中美洲 Postclassic：Aztec Triple Alliance（Mexica-Texcoco-Tlacopan）实际在1428确立，但13世纪末是“前期墨西加部落联盟/部落纷争与迁移”阶段）</t>
  </si>
  <si>
    <t>（德里苏丹（Mamluk/Khilji）在北印扩张征税机器；东非 Swahili 城邦连印度洋季风网；马来群岛贸易港（Srivijaya 衰/满者伯夷起））</t>
  </si>
  <si>
    <t>（同上一行：南宋景炎/德祐前后（1270s）：陆秀夫/文天祥叙事进入终章；泉州海商集团与蒲寿庚转向；元朝建号（1271）只是时间窗）</t>
  </si>
  <si>
    <t>（同上：马穆鲁克拜巴尔/嘉拉温体制稳固；伊儿汗合赞后来才改宗伊斯兰并整顿税（1295）；1269仍在蒙古宗主权名义下的“双中心博弈”）</t>
  </si>
  <si>
    <t>（同上：欧洲城镇货币复兴、行会、大学（巴黎/牛津/剑桥/博洛尼亚）形成知识—法律—行政新阶层；汉萨同盟雏形港口联盟）</t>
  </si>
  <si>
    <t>（同上：Andean Late Intermediate：Chimú 势力北伸；Inca 在库斯科谷地仍是小酋邦但开始吞并邻居（Pachacuti 要到15mid））</t>
  </si>
  <si>
    <t>（印度：Alauddin Khilji 还没上台（1296）；Deccan 与南方各教王/维贾亚纳加尔还要等14c；跨印度洋贸易由阿拉伯/古吉拉特/斯瓦希里瓜分）</t>
  </si>
  <si>
    <t>公元1269年 → 公元1847年</t>
  </si>
  <si>
    <t>（元（1271–1368）：行省制、大运河重开、钞法通胀、色目商人与穆斯林技术官僚；明（1368起）：洪武集权/锦衣卫、永乐北伐与下西洋（郑和1405–1433）、迁都北京；清（1644起）：康雍乾疆域极盛、文字狱、人口爆炸→鸦片战争（1840）与南京条约（1842）把近代硬打开）</t>
  </si>
  <si>
    <t>（奥斯曼：1299建国→1453取君士坦丁堡→苏莱曼立法者巅峰；萨法维波斯（1501）重塑什叶派轴心；地理大发现后西欧绕好望角破旧商路；一战前“东方问题”让西亚成列强棋盘）</t>
  </si>
  <si>
    <t>（文艺复兴/宗教改革（1517）/大航海/启蒙/法国大革命（1789）/拿破仑/工业革命/维也纳体系/1848春：城市化、铁路、电报、工厂法、殖民帝国瓜分非洲与亚洲口岸）</t>
  </si>
  <si>
    <t>（美洲：1492哥伦布→西班牙征服 Aztec（1519–1521）&amp; Inca（1532–1572）→三角贸易与种植园奴隶制；北美13州独立（1776）→美利坚宪法（1787）→19c西进与内战（1861–65）前奏在</t>
  </si>
  <si>
    <t>公元1847年 → 公元1912年</t>
  </si>
  <si>
    <t>（晚清：太平天国（1851–1864）席卷半壁江山；第二次鸦片战争（1856–1860）与北京圆明园劫毁；洋务运动（1861起）办工厂/海军/学堂；甲午战争（1894–1895）惨败、马关条约割台赔款；戊戌变法（1898）百日而终；义和团（1899–1901）与八国联军；清末新政（1901–1911）立宪、练新军、废科举；1911辛亥革命，1912中华民国成立，溥仪退位）</t>
  </si>
  <si>
    <t>（西亚：奥斯曼坦志麦特改革（Tanzimat，1839–1876）试图西化集权；苏伊士运河通航（1869）使埃及成英法争夺焦点；1881–1899 法国、意大利、英国相继侵占北非（突尼斯、利比亚、埃及）；波斯卡扎尔王朝沦为英俄缓冲区；1908青年土耳其革命推翻苏丹专制；阿拉伯民族主义与锡安主义在巴勒斯坦开始抬头）</t>
  </si>
  <si>
    <t>（欧洲：1848革命浪潮席卷多国（法、德、奥、意）；1861意大利统一完成；1871德意志统一（普法战争、凡尔赛称帝）；1870–1914第二次工业革命：电力、内燃机、化学工业、钢铁、垄断资本；马克思《资本论》第一卷（1867）；1871巴黎公社；1904–1905日俄战争在欧洲舆论场引发震动；1912巴尔干战争削弱奥斯曼在欧洲残余）</t>
  </si>
  <si>
    <t>（美洲：美国南北战争（1861–1865）废除奴隶制、联邦巩固；西进运动与印第安战争基本完成（1890伤膝河）；美西战争（1898）夺古巴/波多黎各/菲律宾，成太平洋—加勒比帝国；拉丁美洲：考迪罗（Caudillo）军阀循环、咖啡/牛肉/矿产出口经济依附欧美资本；巴西废除奴隶制（1888）、建立共和国（1889）；墨西哥迪亚斯独裁（1876–1911）现代化与农民不满并存）</t>
  </si>
  <si>
    <t>（其他：日本明治维新（1868起）废藩置县、殖产兴业、征韩论与甲午/日俄胜利；印度1857兵变后由东印度公司统治转为英王直辖（1876维多利亚女皇头衔）；非洲：柏林会议（1884–1885）瓜分非洲，刚果自由邦、南非英布战争（1899–1902）；东南亚：英法荷殖民深化（越南、暹罗缓冲国、荷属东印度）；全球金本位、海底电缆、远洋轮船、世界时间（格林尼治标准时）一体化）</t>
  </si>
  <si>
    <t>曾仕强也不敢明着跟满清势力作对，他是销售额最高的华人讲师。他曾经提到，很多神仙和历代皇帝都转世了，包括崇祯皇帝。因为这个时代不搏一搏将是万劫不复。</t>
    <phoneticPr fontId="6" type="noConversion"/>
  </si>
  <si>
    <t>曾仕强说老人不会老，小孩长不大，暗指人口贩卖产业提取干细胞</t>
    <phoneticPr fontId="6" type="noConversion"/>
  </si>
  <si>
    <t>满系艺人给东南亚犯罪集团祝寿和贺新年，后来很多声音洗地。那里简直就是托克所的延续</t>
    <phoneticPr fontId="6" type="noConversion"/>
  </si>
  <si>
    <t>西方人喜欢讲屠龙，屠龙以后会爆金币，指的可能就是消灭中国</t>
    <phoneticPr fontId="6" type="noConversion"/>
  </si>
  <si>
    <t>万里长城在欧洲也有，它不是防御工事而是军用高速公路，古代中国可能占领着整个亚欧大陆</t>
    <phoneticPr fontId="6" type="noConversion"/>
  </si>
  <si>
    <t>瑞士，意大利都有很多榫卯老房子，永济桥那样的桥，很可能是华人聚集地</t>
    <phoneticPr fontId="6" type="noConversion"/>
  </si>
  <si>
    <t>英文发音很多跟客家话粤语相似，很可能来源于汉语</t>
    <phoneticPr fontId="6" type="noConversion"/>
  </si>
  <si>
    <t>很多人鼓吹佳绒语是古汉语</t>
    <phoneticPr fontId="6" type="noConversion"/>
  </si>
  <si>
    <t>实际客家话和粤语才是古汉语，没那么难懂</t>
    <phoneticPr fontId="6" type="noConversion"/>
  </si>
  <si>
    <t>土木堡可能在德国，很多当前的地名可能在欧洲，被人故意篡改到东亚</t>
    <phoneticPr fontId="6" type="noConversion"/>
  </si>
  <si>
    <t>《路史》里的东西被刻意淡化了，信史不信，而去信西方伪史。上古就有很灿烂的文明</t>
    <phoneticPr fontId="6" type="noConversion"/>
  </si>
  <si>
    <t>周礼记载的国家机关复杂度不亚于今日，也许版图远超认知</t>
    <phoneticPr fontId="6" type="noConversion"/>
  </si>
  <si>
    <t>潮汕信仰太阳公是崇祯，他可能并不是上吊而是战死</t>
    <phoneticPr fontId="6" type="noConversion"/>
  </si>
  <si>
    <t>永久残疾性质的裹脚是清朝产物，满清牵强附会地伪造魏晋时期就有裹脚</t>
    <phoneticPr fontId="6" type="noConversion"/>
  </si>
  <si>
    <t>猎巫行动专门谋害懂草药，给人治病的所谓女巫可能是残留华夏子民</t>
    <phoneticPr fontId="6" type="noConversion"/>
  </si>
  <si>
    <t>耶稣可能是崇祯，他们的年龄，遇害时间都很相似，生日甚至同一天</t>
    <phoneticPr fontId="6" type="noConversion"/>
  </si>
  <si>
    <t>西方强调古埃及文明的灿烂，摩亨佐这种都拉出来</t>
    <phoneticPr fontId="6" type="noConversion"/>
  </si>
  <si>
    <t>为了掩盖中华文明的灿烂</t>
    <phoneticPr fontId="6" type="noConversion"/>
  </si>
  <si>
    <t>满清托克所，柳叶边城墙，人口贩卖，系统性地消灭各族人口（航海日志）</t>
    <phoneticPr fontId="6" type="noConversion"/>
  </si>
  <si>
    <t>解手可能来自于托克所里的华人奴隶要绑手，上厕所才解开</t>
    <phoneticPr fontId="6" type="noConversion"/>
  </si>
  <si>
    <t>汗衫实际是汉衫。穿在里面，汉人在满清只有婴儿襁褓和寿衣允许使用汉服</t>
    <phoneticPr fontId="6" type="noConversion"/>
  </si>
  <si>
    <t>穿汉服的干尸“黄拙吾”意为皇出吾。此人六根脚趾，是洪承畴，海宁洪氏取代了满清皇族</t>
    <phoneticPr fontId="6" type="noConversion"/>
  </si>
  <si>
    <t>真康熙病死，归来太高，是假冒的，换了种，满语不会讲</t>
    <phoneticPr fontId="6" type="noConversion"/>
  </si>
  <si>
    <t>满清有多次换种，奴儿哈只血统早已失传</t>
    <phoneticPr fontId="6" type="noConversion"/>
  </si>
  <si>
    <t>从雕塑艺术来看，满清憎恨烈士，汉人，明臣，美化洪承畴，说明甩不掉他</t>
    <phoneticPr fontId="6" type="noConversion"/>
  </si>
  <si>
    <t>皇台吉承认用心理战让崇祯杀袁崇焕，实则可能反过来，袁确实反叛。是为了丑化明廷</t>
    <phoneticPr fontId="6" type="noConversion"/>
  </si>
  <si>
    <t>满清修明史写崇祯凌迟处死袁，实则满清十大酷刑是清朝才有</t>
    <phoneticPr fontId="6" type="noConversion"/>
  </si>
  <si>
    <t>EXO首期四个华人，分别代表着官-鹿晗，富-黄子韬，芒果系-张艺兴，满系-吴亦凡（高奢）</t>
    <phoneticPr fontId="6" type="noConversion"/>
  </si>
  <si>
    <t>清华大学就是清+华，是美国用满清赔款捐赠。清华美院屁股尤其歪</t>
    <phoneticPr fontId="6" type="noConversion"/>
  </si>
  <si>
    <t>法国铁面人为明太子朱慈烺，在他之后西方迅速崛起</t>
    <phoneticPr fontId="6" type="noConversion"/>
  </si>
  <si>
    <t>满清八旗对应着北欧8国，颜色高度相似。北欧是反华大本营</t>
    <phoneticPr fontId="6" type="noConversion"/>
  </si>
  <si>
    <t>毛的作品可能被篡改，例如批判大汉族主义等言论，没有交叉证明记录，仅有文章</t>
    <phoneticPr fontId="6" type="noConversion"/>
  </si>
  <si>
    <t>毛，周可能被毒害，身体本来硬朗，差不多同一时间急转直下，而且都是癌症</t>
    <phoneticPr fontId="6" type="noConversion"/>
  </si>
  <si>
    <t>孙文说革命尚未成功，毛主席也称辛亥革命没有完成，只能用人民英雄纪念碑表达立场</t>
    <phoneticPr fontId="6" type="noConversion"/>
  </si>
  <si>
    <t>建国后需要钱，可能满遗打钱了，溥仪不处死可以理解，后来还当政协委员有点过头</t>
    <phoneticPr fontId="6" type="noConversion"/>
  </si>
  <si>
    <t>多个叛党叛国的满族人，百度百科被改成汉族</t>
    <phoneticPr fontId="6" type="noConversion"/>
  </si>
  <si>
    <t>创办皇汉网，宣传极端言论的是满族人</t>
    <phoneticPr fontId="6" type="noConversion"/>
  </si>
  <si>
    <t>满遗曾经搞复辟运动，遭到打击但可能不够彻底</t>
    <phoneticPr fontId="6" type="noConversion"/>
  </si>
  <si>
    <t>华伦天奴创始人家里放很多满清画，估计是满清后裔。高奢品牌都搞丑化华人那一套</t>
    <phoneticPr fontId="6" type="noConversion"/>
  </si>
  <si>
    <t>满遗热衷于满语复兴，颁金节等，高奢广告多推行以满代华，让汉服变和服。实则旗袍马褂瓜皮帽并非汉服而是满服</t>
    <phoneticPr fontId="6" type="noConversion"/>
  </si>
  <si>
    <t>厂字领蜈蚣扣的满服跟俄罗斯布里亚特族完全一样。这是蒙古的一支，意为“森林的”</t>
    <phoneticPr fontId="6" type="noConversion"/>
  </si>
  <si>
    <t>印尼人和满人有吃人传统，故朊病毒抗体高，白人也偏高。实锤其南下边打边吃的做法，史上最惨烈</t>
    <phoneticPr fontId="6" type="noConversion"/>
  </si>
  <si>
    <t>实录记载满清部队据守城市被明军围困，最终吃光城中人而全灭。明军找出堆积如山的切了不要的女性阴部数吨</t>
    <phoneticPr fontId="6" type="noConversion"/>
  </si>
  <si>
    <t>布里亚特篡夺女真族，改名满洲，改名满族。改金国为清国。之前，女真族已经基本汉化（完颜系）</t>
    <phoneticPr fontId="6" type="noConversion"/>
  </si>
  <si>
    <t>国内有巨大成吉思汗雕像，还有许多美化努尔哈只，施琅等汉奸的雕像，一定程度上说明他们的自身认知</t>
    <phoneticPr fontId="6" type="noConversion"/>
  </si>
  <si>
    <t>满遗似乎认古中山国（白狄）为远祖，以蒙古为先祖，以奴儿哈只为先祖，并有三叉戟作为他们的标识</t>
    <phoneticPr fontId="6" type="noConversion"/>
  </si>
  <si>
    <t>新华字典旧版“旗”的组词为五星红旗。新版为 八旗，并有相关注释</t>
    <phoneticPr fontId="6" type="noConversion"/>
  </si>
  <si>
    <t>改开前教科书为丰子恺定版，插画漂亮。后面越改越歪，直至“毒教材”。领导留言板直接下架教育部投诉入口</t>
    <phoneticPr fontId="6" type="noConversion"/>
  </si>
  <si>
    <t>宣扬黑人入华，难民入华的活动家与犹太人关系深，意图破坏所有纯净血统的凝聚力，因为犹太吃过这个亏（德三）</t>
    <phoneticPr fontId="6" type="noConversion"/>
  </si>
  <si>
    <t>日本有爱新觉罗社，满系与“瑞穗”家族关系大，满洲国为日本扶持，溥仪曾投靠日本</t>
    <phoneticPr fontId="6" type="noConversion"/>
  </si>
  <si>
    <t>溥仪的哥哥爱新觉罗宪军主导参与731事件，日，满，犹太可能深度合作</t>
    <phoneticPr fontId="6" type="noConversion"/>
  </si>
  <si>
    <t>非典，新冠可能均为投毒，明末鼠疫可能是投毒，因为疫情发展与战事完全吻合</t>
    <phoneticPr fontId="6" type="noConversion"/>
  </si>
  <si>
    <t>有网友录视频说日本人满人在国内非常多通婚和聚居，可能与日本人学校有关</t>
    <phoneticPr fontId="6" type="noConversion"/>
  </si>
  <si>
    <t>其实真正的满族只有爱新觉罗，其他都是女真族，例如钮钴禄氏，叶赫那拉</t>
    <phoneticPr fontId="6" type="noConversion"/>
  </si>
  <si>
    <t>改开后出现一批满系艺人，如那英，新生代娱乐圈基本不再有满系</t>
    <phoneticPr fontId="6" type="noConversion"/>
  </si>
  <si>
    <t>鹿晗关晓彤分手，很可能因为鹿晗属于官二代，而关晓彤属于满系艺人</t>
    <phoneticPr fontId="6" type="noConversion"/>
  </si>
  <si>
    <t>达芬奇等许多西方科学家艺术家，都说是做梦的时候找到灵感，发明了xx。而且他们都没有后代，可能是翻译永乐大典的知识</t>
    <phoneticPr fontId="6" type="noConversion"/>
  </si>
  <si>
    <t>文化战强度很高，你说永乐大典里有科技，水军就说里面有光刻机，纯串</t>
    <phoneticPr fontId="6" type="noConversion"/>
  </si>
  <si>
    <t>根据中药材考证，某些药材像欧洲植物，佐证我们曾经有更大领土</t>
    <phoneticPr fontId="6" type="noConversion"/>
  </si>
  <si>
    <t>今玉门关 铁门关 周围一马平川的戈壁，压根没鸟用。实际玉门关在匈牙利，铁门关在欧洲的铁门国家公园。隋朝挖的运河在欧洲</t>
    <phoneticPr fontId="6" type="noConversion"/>
  </si>
  <si>
    <t>暂时将隋唐合并，推测为与宋并列的胡汉混合政权（陇东集团）而宋可能是纯汉人集团</t>
    <phoneticPr fontId="4" type="noConversion"/>
  </si>
  <si>
    <t>商汤~商纣 小河沿文化</t>
    <phoneticPr fontId="4" type="noConversion"/>
  </si>
  <si>
    <t>中原腹地出现了规模宏大的环壕聚落和城池（如巩义双槐树遗址、襄汾陶寺遗址、神木石峁遗址等），出现了气势恢宏的宫墙和“前朝后寝”的布局</t>
    <phoneticPr fontId="4" type="noConversion"/>
  </si>
  <si>
    <t>尧</t>
    <phoneticPr fontId="4" type="noConversion"/>
  </si>
  <si>
    <t>舜</t>
    <phoneticPr fontId="4" type="noConversion"/>
  </si>
  <si>
    <t>禹~启~夏桀 对应马家窑文化早期 马家浜文化。禹在位45年去世，传位给启</t>
    <phoneticPr fontId="4" type="noConversion"/>
  </si>
  <si>
    <t>玄嚣</t>
    <phoneticPr fontId="4" type="noConversion"/>
  </si>
  <si>
    <t>高阳，黄帝之孙，昌意之子</t>
    <phoneticPr fontId="4" type="noConversion"/>
  </si>
  <si>
    <t>龙图腾、龙师、历象·《左传·昭17》《路史·前纪六》，太昊发源于东部，风姓，跟伏羲一脉相承。以龙纪官，龙图腾首次出现。太昊与伏羲应为不同的人，但承上启下，都以龙纪官，许多记载证明太昊比伏羲略早，故我们认定伏羲即位时可能尊太昊为高祖，或太昊为伏羲的前一代帝王</t>
    <phoneticPr fontId="4" type="noConversion"/>
  </si>
  <si>
    <t>构木为巢避禽兽·《庄子·盗跖》《帝王世纪》，又称为大巢氏。有巢和燧人氏都在这一期
辰放氏（皇次屈）：传4世 蜀山氏：传6世 豗傀氏：传6世 浑沌氏：传7世 东户氏：传17世 皇覃氏：传7世 启统氏：传3世 吉夷氏：传4世 儿蘧氏：传1世 猪韦氏：传4世 有巢氏：传2世 燧人氏（遂皇氏）：传4世 庸成氏：传8世。总共68世</t>
    <phoneticPr fontId="4" type="noConversion"/>
  </si>
  <si>
    <r>
      <t>华夏先民穴居。二十二氏·六十余世 巨灵氏（钜灵氏）→句彊氏（句强氏）→谯明氏→涿光氏→钩陈氏（钩阵氏）→黄神氏（駏神氏前）→犭巨神氏（拒神氏/</t>
    </r>
    <r>
      <rPr>
        <sz val="11"/>
        <color theme="1"/>
        <rFont val="SimSun-ExtB"/>
        <family val="3"/>
        <charset val="134"/>
      </rPr>
      <t>𤝙</t>
    </r>
    <r>
      <rPr>
        <sz val="11"/>
        <color theme="1"/>
        <rFont val="宋体"/>
        <family val="3"/>
        <charset val="134"/>
        <scheme val="minor"/>
      </rPr>
      <t>神氏）→犁灵氏→大騩氏（大隗氏）→鬼騩氏（鬼隗氏）→弇兹氏（掩兹氏）→泰逢氏（泰逄氏）→冉相氏→盖盈氏→大敦氏→云阳氏（灵阳氏）→巫常氏→泰壹氏（泰一氏）→空桑氏→神民氏→倚帝氏（猗帝氏）→次民氏（次是氏）（共22氏，前后相继）
泰一很可能就是东皇太一，则这时候政治中心可能在南方</t>
    </r>
    <phoneticPr fontId="4" type="noConversion"/>
  </si>
  <si>
    <t>传四姓，无名号留传，《盘古王表》记载“叙命纪传四世”</t>
    <phoneticPr fontId="4" type="noConversion"/>
  </si>
  <si>
    <t>传六姓，无名号留传，乘蜚麟以理。同理，故写成6世</t>
    <phoneticPr fontId="4" type="noConversion"/>
  </si>
  <si>
    <t>提挺氏生子三十五世，通纪七十二姓。可能是生35子。分化成35个部落，其子通氏得位，代数未详。
推测这不是大一统的王朝，或提挺氏统一后又进行分封。可能是与周边部族逐渐融合，大家又自立门户，所以产生大量姓氏（72指多数）</t>
    <phoneticPr fontId="4" type="noConversion"/>
  </si>
  <si>
    <t>皇伯、皇仲、皇叔、皇季、皇少（五龙氏，分治五方）</t>
    <phoneticPr fontId="4" type="noConversion"/>
  </si>
  <si>
    <t>开天辟地·《三五历纪》《路史·前纪一》。黄帝内经记载上古之人能活到一百多岁，采纳此说法作为年份参考。伏羲女娲下半身是龙，头长有龙角，类似于神农氏的特征。可能早期中国人由龙演变而来。我认为五龙氏到天皇氏的历史确实有夸张成分，但可以作为个参考。我按照常规的帝王在位时间平均值推算年代 分为旧长度和新长度</t>
    <phoneticPr fontId="4" type="noConversion"/>
  </si>
  <si>
    <t>首任帝（神农/炎帝石年）：在位140年 二任帝（临魁）：在位80年 三任帝（姜承/帝承）：在位60年 四任帝（姜明/帝明）：在位49年 五任帝（姜宜/帝直）：在位45年 六任帝（姜来/帝来）：在位48年 七任帝（姜克/帝哀）：在位43年 八任帝（榆罔/帝揄罔）：在位55年。总共520年。第八代炎帝与黄帝战于阪泉、后结盟共伐蚩尤，在位33年，共同推举黄帝为帝，黄河流域的仰韶文化、北方的红山文化、海岱地区的大汶口文化以及长江流域的大溪文化</t>
    <phoneticPr fontId="4" type="noConversion"/>
  </si>
  <si>
    <t>黄帝娶西陵氏之女嫘祖为正妃，生下两个儿子：长子名为玄嚣（字青阳），也就是后来的少昊；次子名为昌意。我认为三皇五帝就是按时间顺序来的，而不是文化标识，是完全实际的。
笔者认为三皇是太昊，伏羲，女娲；五帝是炎帝 黄帝 尧舜禹</t>
    <phoneticPr fontId="4" type="noConversion"/>
  </si>
  <si>
    <t>帝喾是黄帝长子玄嚣的孙子</t>
    <phoneticPr fontId="4" type="noConversion"/>
  </si>
  <si>
    <t>帝挚是帝喾的长子，禅让给帝尧</t>
    <phoneticPr fontId="4" type="noConversion"/>
  </si>
  <si>
    <t>画八卦、定嫁娶、作甲子·《易·系辞》《帝王世纪》，这时候已经出现高度抽象的符号系统，伏羲和女娲共治天下，继位者：女娲氏（可能伏羲去世略早）、大庭氏、柏皇氏、中央氏、栗陆氏、骊连氏、混沌氏、赫胥氏、尊卢氏、昊英氏、有巢氏、朱襄氏、葛天氏、阴康氏、无怀氏。加上伏羲女娲总共17世。对应新石器晚期， 裴李岗文化 兴隆洼文化 大地湾文化 顶狮山文化  井头山遗址
这里面还有一位有巢氏，古人认为是有巢氏的一支居住在陕西或者四川</t>
    <phoneticPr fontId="4" type="noConversion"/>
  </si>
  <si>
    <t>今年</t>
    <phoneticPr fontId="4" type="noConversion"/>
  </si>
  <si>
    <t>黄帝纪年算法参考：原文：huaxia.center  . 元年记为-1故在位80年记为81以便配平
精准对应 重庆巫山大溪遗址（公元前4400年起）和山东泰安大汶口遗址（公元前4300年起）
黄帝出生于公元前4428年2月8日（黄帝纪年前52年癸酉年二月初二戊子日），黄帝即位于前4414年，辞世于公元前4335年9月14日（丙午年 八月廿二 甲戍日），其时黄帝94岁、在位80年。
基于回溯性纪年，历法向反方向推演得出黄帝调历在公元前4377年1月15日（甲子年甲子月辛卯日）
由此可知中华民族始有统一的原始形态国家已经有6000余年的历史，而黄帝之前的神农氏已有四千年历史，中国人文历史始于万年之前的神农氏发明陶文天干时期。
尽管考古学界普遍认为五帝时代为龙山时代，炎黄年代距今5000年左右，但尚未见到有人结合考古学文化与文献资料来做深入具体的研究。与之相反，虽然“五帝时代要上延至仰韶时代、炎黄的历史文化应与仰韶文化相关”只是少数学者的认识，但他们是将考古学文化与文献资料结合起来进行研究论证的。现在，依据古代文献中有关黄帝年代的历法记录来进行计算分析，认为黄帝的年代应该始于仰韶文化前期，而这与考古学结合其他文献研究得出的结论相一致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</si>
</sst>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1"/>
      <color theme="1"/>
      <name val="SimSun-ExtB"/>
      <family val="3"/>
      <charset val="134"/>
    </font>
    <font>
      <sz val="11"/>
      <color theme="1"/>
      <name val="宋体"/>
      <family val="1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0" xfId="0" applyFont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3"/>
  <sheetViews>
    <sheetView tabSelected="1" zoomScale="115" zoomScaleNormal="115" workbookViewId="0">
      <pane ySplit="1" topLeftCell="A10" activePane="bottomLeft" state="frozen"/>
      <selection pane="bottomLeft" activeCell="L12" sqref="L12"/>
    </sheetView>
  </sheetViews>
  <sheetFormatPr defaultColWidth="9.21875" defaultRowHeight="25.05" customHeight="1" x14ac:dyDescent="0.25"/>
  <cols>
    <col min="1" max="1" width="8.21875" style="1" customWidth="1"/>
    <col min="2" max="2" width="11.5546875" style="1" customWidth="1"/>
    <col min="3" max="4" width="11.33203125" style="1" customWidth="1"/>
    <col min="5" max="5" width="11.44140625" style="1" customWidth="1"/>
    <col min="6" max="6" width="10.109375" style="1" customWidth="1"/>
    <col min="7" max="7" width="9.33203125" style="1" customWidth="1"/>
    <col min="8" max="8" width="11.44140625" style="1" customWidth="1"/>
    <col min="9" max="10" width="11.77734375" style="1" customWidth="1"/>
    <col min="11" max="11" width="12.109375" style="1" customWidth="1"/>
    <col min="12" max="12" width="38.21875" style="1" customWidth="1"/>
    <col min="13" max="16384" width="9.21875" style="1"/>
  </cols>
  <sheetData>
    <row r="1" spans="1:12" ht="25.05" customHeight="1" thickBot="1" x14ac:dyDescent="0.3">
      <c r="A1" s="2" t="s">
        <v>0</v>
      </c>
      <c r="B1" s="3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4" t="s">
        <v>11</v>
      </c>
    </row>
    <row r="2" spans="1:12" ht="25.05" customHeight="1" thickBot="1" x14ac:dyDescent="0.3">
      <c r="A2" s="8" t="s">
        <v>53</v>
      </c>
      <c r="B2" s="3">
        <f t="array" ref="B2">C3</f>
        <v>-68277279</v>
      </c>
      <c r="C2" s="3">
        <f t="array" ref="C2">B2-F2</f>
        <v>-70977279</v>
      </c>
      <c r="D2" s="1">
        <f t="shared" ref="D2:D12" si="0">B2+4413</f>
        <v>-68272866</v>
      </c>
      <c r="E2" s="1">
        <f t="shared" ref="E2:E12" si="1">C2+4413</f>
        <v>-70972866</v>
      </c>
      <c r="F2" s="1">
        <v>2700000</v>
      </c>
      <c r="G2" s="1">
        <v>0</v>
      </c>
      <c r="H2" s="1">
        <f t="array" ref="H2">I2-G2</f>
        <v>-26534</v>
      </c>
      <c r="I2" s="1">
        <f t="array" ref="I2">H3</f>
        <v>-26534</v>
      </c>
      <c r="J2" s="1">
        <f t="array" ref="J2">K2-G2</f>
        <v>-22120</v>
      </c>
      <c r="K2" s="1">
        <f t="array" ref="K2">J3</f>
        <v>-22120</v>
      </c>
      <c r="L2" s="7" t="s">
        <v>422</v>
      </c>
    </row>
    <row r="3" spans="1:12" ht="25.05" customHeight="1" thickBot="1" x14ac:dyDescent="0.3">
      <c r="A3" s="8" t="s">
        <v>52</v>
      </c>
      <c r="B3" s="3">
        <f t="array" ref="B3">C4</f>
        <v>-16677279</v>
      </c>
      <c r="C3" s="3">
        <f t="array" ref="C3">B3-F3</f>
        <v>-68277279</v>
      </c>
      <c r="D3" s="1">
        <f t="shared" si="0"/>
        <v>-16672866</v>
      </c>
      <c r="E3" s="1">
        <f t="shared" si="1"/>
        <v>-68272866</v>
      </c>
      <c r="F3" s="1">
        <v>51600000</v>
      </c>
      <c r="G3" s="1">
        <v>2500</v>
      </c>
      <c r="H3" s="1">
        <f t="array" ref="H3">I3-G3</f>
        <v>-26534</v>
      </c>
      <c r="I3" s="1">
        <f t="array" ref="I3">H4</f>
        <v>-24034</v>
      </c>
      <c r="J3" s="1">
        <f t="array" ref="J3">K3-G3</f>
        <v>-22120</v>
      </c>
      <c r="K3" s="1">
        <f t="array" ref="K3">J4</f>
        <v>-19620</v>
      </c>
      <c r="L3" s="7" t="s">
        <v>54</v>
      </c>
    </row>
    <row r="4" spans="1:12" ht="25.05" customHeight="1" thickBot="1" x14ac:dyDescent="0.3">
      <c r="A4" s="8" t="s">
        <v>51</v>
      </c>
      <c r="B4" s="3">
        <f t="array" ref="B4">C5</f>
        <v>-12123279</v>
      </c>
      <c r="C4" s="3">
        <f t="array" ref="C4">B4-F4</f>
        <v>-16677279</v>
      </c>
      <c r="D4" s="1">
        <f t="shared" si="0"/>
        <v>-12118866</v>
      </c>
      <c r="E4" s="1">
        <f t="shared" si="1"/>
        <v>-16672866</v>
      </c>
      <c r="F4" s="1">
        <v>4554000</v>
      </c>
      <c r="G4" s="1">
        <v>2000</v>
      </c>
      <c r="H4" s="1">
        <f t="array" ref="H4">I4-G4</f>
        <v>-24034</v>
      </c>
      <c r="I4" s="1">
        <f t="array" ref="I4">H5</f>
        <v>-22034</v>
      </c>
      <c r="J4" s="1">
        <f t="array" ref="J4">K4-G4</f>
        <v>-19620</v>
      </c>
      <c r="K4" s="1">
        <f t="array" ref="K4">J5</f>
        <v>-17620</v>
      </c>
      <c r="L4" s="7" t="s">
        <v>55</v>
      </c>
    </row>
    <row r="5" spans="1:12" ht="25.05" customHeight="1" thickBot="1" x14ac:dyDescent="0.3">
      <c r="A5" s="8" t="s">
        <v>50</v>
      </c>
      <c r="B5" s="3">
        <f t="array" ref="B5">C6</f>
        <v>-8569279</v>
      </c>
      <c r="C5" s="3">
        <f t="array" ref="C5">B5-F5</f>
        <v>-12123279</v>
      </c>
      <c r="D5" s="1">
        <f t="shared" si="0"/>
        <v>-8564866</v>
      </c>
      <c r="E5" s="1">
        <f t="shared" si="1"/>
        <v>-12118866</v>
      </c>
      <c r="F5" s="1">
        <v>3554000</v>
      </c>
      <c r="G5" s="1">
        <v>1500</v>
      </c>
      <c r="H5" s="1">
        <f t="array" ref="H5">I5-G5</f>
        <v>-22034</v>
      </c>
      <c r="I5" s="1">
        <f t="array" ref="I5">H6</f>
        <v>-20534</v>
      </c>
      <c r="J5" s="1">
        <f t="array" ref="J5">K5-G5</f>
        <v>-17620</v>
      </c>
      <c r="K5" s="1">
        <f t="array" ref="K5">J6</f>
        <v>-16120</v>
      </c>
      <c r="L5" s="7" t="s">
        <v>64</v>
      </c>
    </row>
    <row r="6" spans="1:12" ht="25.05" customHeight="1" thickBot="1" x14ac:dyDescent="0.3">
      <c r="A6" s="8" t="s">
        <v>56</v>
      </c>
      <c r="B6" s="3">
        <f t="array" ref="B6">C7</f>
        <v>-3015279</v>
      </c>
      <c r="C6" s="3">
        <f t="array" ref="C6">B6-F6</f>
        <v>-8569279</v>
      </c>
      <c r="D6" s="1">
        <f t="shared" si="0"/>
        <v>-3010866</v>
      </c>
      <c r="E6" s="1">
        <f t="shared" si="1"/>
        <v>-8564866</v>
      </c>
      <c r="F6" s="1">
        <v>5554000</v>
      </c>
      <c r="G6" s="1">
        <v>100</v>
      </c>
      <c r="H6" s="1">
        <f t="array" ref="H6">I6-G6</f>
        <v>-20534</v>
      </c>
      <c r="I6" s="1">
        <f t="array" ref="I6">H7</f>
        <v>-20434</v>
      </c>
      <c r="J6" s="1">
        <f t="array" ref="J6">K6-G6</f>
        <v>-16120</v>
      </c>
      <c r="K6" s="1">
        <f t="array" ref="K6">J7</f>
        <v>-16020</v>
      </c>
      <c r="L6" s="7" t="s">
        <v>421</v>
      </c>
    </row>
    <row r="7" spans="1:12" ht="25.05" customHeight="1" thickBot="1" x14ac:dyDescent="0.3">
      <c r="A7" s="8" t="s">
        <v>57</v>
      </c>
      <c r="B7" s="3">
        <f t="array" ref="B7">C8</f>
        <v>-3014779</v>
      </c>
      <c r="C7" s="3">
        <f t="array" ref="C7">B7-F7</f>
        <v>-3015279</v>
      </c>
      <c r="D7" s="1">
        <f t="shared" si="0"/>
        <v>-3010366</v>
      </c>
      <c r="E7" s="1">
        <f t="shared" si="1"/>
        <v>-3010866</v>
      </c>
      <c r="F7" s="1">
        <v>500</v>
      </c>
      <c r="G7" s="1">
        <v>500</v>
      </c>
      <c r="H7" s="1">
        <f t="array" ref="H7">I7-G7</f>
        <v>-20434</v>
      </c>
      <c r="I7" s="1">
        <f t="array" ref="I7">H8</f>
        <v>-19934</v>
      </c>
      <c r="J7" s="1">
        <f t="array" ref="J7">K7-G7</f>
        <v>-16020</v>
      </c>
      <c r="K7" s="1">
        <f t="array" ref="K7">J8</f>
        <v>-15520</v>
      </c>
      <c r="L7" s="7" t="s">
        <v>420</v>
      </c>
    </row>
    <row r="8" spans="1:12" ht="25.05" customHeight="1" thickBot="1" x14ac:dyDescent="0.3">
      <c r="A8" s="8" t="s">
        <v>58</v>
      </c>
      <c r="B8" s="3">
        <f t="array" ref="B8">C9</f>
        <v>-2563779</v>
      </c>
      <c r="C8" s="3">
        <f t="array" ref="C8">B8-F8</f>
        <v>-3014779</v>
      </c>
      <c r="D8" s="1">
        <f t="shared" si="0"/>
        <v>-2559366</v>
      </c>
      <c r="E8" s="1">
        <f t="shared" si="1"/>
        <v>-3010366</v>
      </c>
      <c r="F8" s="1">
        <v>451000</v>
      </c>
      <c r="G8" s="1">
        <v>400</v>
      </c>
      <c r="H8" s="1">
        <f t="array" ref="H8">I8-G8</f>
        <v>-19934</v>
      </c>
      <c r="I8" s="1">
        <f t="array" ref="I8">H9</f>
        <v>-19534</v>
      </c>
      <c r="J8" s="1">
        <f t="array" ref="J8">K8-G8</f>
        <v>-15520</v>
      </c>
      <c r="K8" s="1">
        <f t="array" ref="K8">J9</f>
        <v>-15120</v>
      </c>
      <c r="L8" s="7" t="s">
        <v>63</v>
      </c>
    </row>
    <row r="9" spans="1:12" ht="25.05" customHeight="1" thickBot="1" x14ac:dyDescent="0.3">
      <c r="A9" s="8" t="s">
        <v>59</v>
      </c>
      <c r="B9" s="3">
        <f t="array" ref="B9">C10</f>
        <v>-2563179</v>
      </c>
      <c r="C9" s="3">
        <f t="array" ref="C9">B9-F9</f>
        <v>-2563779</v>
      </c>
      <c r="D9" s="1">
        <f t="shared" si="0"/>
        <v>-2558766</v>
      </c>
      <c r="E9" s="1">
        <f t="shared" si="1"/>
        <v>-2559366</v>
      </c>
      <c r="F9" s="1">
        <v>600</v>
      </c>
      <c r="G9" s="1">
        <v>600</v>
      </c>
      <c r="H9" s="1">
        <f t="array" ref="H9">I9-G9</f>
        <v>-19534</v>
      </c>
      <c r="I9" s="1">
        <f t="array" ref="I9">H10</f>
        <v>-18934</v>
      </c>
      <c r="J9" s="1">
        <f t="array" ref="J9">K9-G9</f>
        <v>-15120</v>
      </c>
      <c r="K9" s="1">
        <f t="array" ref="K9">J10</f>
        <v>-14520</v>
      </c>
      <c r="L9" s="7" t="s">
        <v>419</v>
      </c>
    </row>
    <row r="10" spans="1:12" ht="25.05" customHeight="1" thickBot="1" x14ac:dyDescent="0.3">
      <c r="A10" s="8" t="s">
        <v>60</v>
      </c>
      <c r="B10" s="3">
        <f t="array" ref="B10">C11</f>
        <v>-2562779</v>
      </c>
      <c r="C10" s="3">
        <f t="array" ref="C10">B10-F10</f>
        <v>-2563179</v>
      </c>
      <c r="D10" s="1">
        <f t="shared" si="0"/>
        <v>-2558366</v>
      </c>
      <c r="E10" s="1">
        <f t="shared" si="1"/>
        <v>-2558766</v>
      </c>
      <c r="F10" s="1">
        <v>400</v>
      </c>
      <c r="G10" s="1">
        <v>400</v>
      </c>
      <c r="H10" s="1">
        <f t="array" ref="H10">I10-G10</f>
        <v>-18934</v>
      </c>
      <c r="I10" s="1">
        <f t="array" ref="I10">H11</f>
        <v>-18534</v>
      </c>
      <c r="J10" s="1">
        <f t="array" ref="J10">K10-G10</f>
        <v>-14520</v>
      </c>
      <c r="K10" s="1">
        <f t="array" ref="K10">J11</f>
        <v>-14120</v>
      </c>
      <c r="L10" s="7" t="s">
        <v>418</v>
      </c>
    </row>
    <row r="11" spans="1:12" ht="25.05" customHeight="1" thickBot="1" x14ac:dyDescent="0.3">
      <c r="A11" s="8" t="s">
        <v>61</v>
      </c>
      <c r="B11" s="3">
        <f t="array" ref="B11">C12</f>
        <v>-8779</v>
      </c>
      <c r="C11" s="3">
        <f t="array" ref="C11">B11-F11</f>
        <v>-2562779</v>
      </c>
      <c r="D11" s="1">
        <f t="shared" si="0"/>
        <v>-4366</v>
      </c>
      <c r="E11" s="1">
        <f t="shared" si="1"/>
        <v>-2558366</v>
      </c>
      <c r="F11" s="1">
        <v>2554000</v>
      </c>
      <c r="G11" s="1">
        <v>6000</v>
      </c>
      <c r="H11" s="1">
        <f t="array" ref="H11">I11-G11</f>
        <v>-18534</v>
      </c>
      <c r="I11" s="1">
        <f t="array" ref="I11">H12</f>
        <v>-12534</v>
      </c>
      <c r="J11" s="1">
        <f t="array" ref="J11">K11-G11</f>
        <v>-14120</v>
      </c>
      <c r="K11" s="1">
        <f t="array" ref="K11">J12</f>
        <v>-8120</v>
      </c>
      <c r="L11" s="7" t="s">
        <v>417</v>
      </c>
    </row>
    <row r="12" spans="1:12" ht="25.05" customHeight="1" thickBot="1" x14ac:dyDescent="0.3">
      <c r="A12" s="8" t="s">
        <v>62</v>
      </c>
      <c r="B12" s="3">
        <f t="array" ref="B12">C13</f>
        <v>-3779</v>
      </c>
      <c r="C12" s="3">
        <f t="array" ref="C12">B12-F12</f>
        <v>-8779</v>
      </c>
      <c r="D12" s="1">
        <f t="shared" si="0"/>
        <v>634</v>
      </c>
      <c r="E12" s="1">
        <f t="shared" si="1"/>
        <v>-4366</v>
      </c>
      <c r="F12" s="1">
        <v>5000</v>
      </c>
      <c r="G12" s="1">
        <v>6800</v>
      </c>
      <c r="H12" s="1">
        <f t="array" ref="H12">I12-G12</f>
        <v>-12534</v>
      </c>
      <c r="I12" s="1">
        <f t="array" ref="I12">H13</f>
        <v>-5734</v>
      </c>
      <c r="J12" s="1">
        <f t="array" ref="J12">K12-G12</f>
        <v>-8120</v>
      </c>
      <c r="K12" s="1">
        <f t="array" ref="K12">J13</f>
        <v>-1320</v>
      </c>
      <c r="L12" s="7" t="s">
        <v>416</v>
      </c>
    </row>
    <row r="13" spans="1:12" ht="25.05" customHeight="1" thickBot="1" x14ac:dyDescent="0.3">
      <c r="A13" s="8" t="s">
        <v>49</v>
      </c>
      <c r="B13" s="3">
        <f t="array" ref="B13">C14</f>
        <v>-3679</v>
      </c>
      <c r="C13" s="3">
        <f t="array" ref="C13">B13-F13</f>
        <v>-3779</v>
      </c>
      <c r="D13" s="1">
        <f t="shared" ref="D13:D14" si="2">B13+4413</f>
        <v>734</v>
      </c>
      <c r="E13" s="1">
        <f t="shared" ref="E13:E14" si="3">C13+4413</f>
        <v>634</v>
      </c>
      <c r="F13" s="1">
        <v>100</v>
      </c>
      <c r="G13" s="1">
        <v>100</v>
      </c>
      <c r="H13" s="1">
        <f t="array" ref="H13">I13-G13</f>
        <v>-5734</v>
      </c>
      <c r="I13" s="1">
        <f t="array" ref="I13">H14</f>
        <v>-5634</v>
      </c>
      <c r="J13" s="1">
        <f t="array" ref="J13">K13-G13</f>
        <v>-1320</v>
      </c>
      <c r="K13" s="1">
        <f t="array" ref="K13">J14</f>
        <v>-1220</v>
      </c>
      <c r="L13" s="7" t="s">
        <v>415</v>
      </c>
    </row>
    <row r="14" spans="1:12" ht="25.05" customHeight="1" thickBot="1" x14ac:dyDescent="0.3">
      <c r="A14" s="8" t="s">
        <v>48</v>
      </c>
      <c r="B14" s="3">
        <f>C15</f>
        <v>-2979</v>
      </c>
      <c r="C14" s="3">
        <f t="array" ref="C14">B14-F14</f>
        <v>-3679</v>
      </c>
      <c r="D14" s="1">
        <f t="shared" si="2"/>
        <v>1434</v>
      </c>
      <c r="E14" s="1">
        <f t="shared" si="3"/>
        <v>734</v>
      </c>
      <c r="F14" s="1">
        <v>700</v>
      </c>
      <c r="G14" s="1">
        <v>700</v>
      </c>
      <c r="H14" s="1">
        <f t="array" ref="H14">I14-G14</f>
        <v>-5634</v>
      </c>
      <c r="I14" s="1">
        <f>H15</f>
        <v>-4934</v>
      </c>
      <c r="J14" s="1">
        <f t="array" ref="J14">K14-G14</f>
        <v>-1220</v>
      </c>
      <c r="K14" s="1">
        <f t="array" ref="K14">J15</f>
        <v>-520</v>
      </c>
      <c r="L14" s="7" t="s">
        <v>427</v>
      </c>
    </row>
    <row r="15" spans="1:12" ht="25.05" customHeight="1" thickBot="1" x14ac:dyDescent="0.3">
      <c r="A15" s="8" t="s">
        <v>47</v>
      </c>
      <c r="B15" s="3">
        <f t="array" ref="B15">C16</f>
        <v>-2459</v>
      </c>
      <c r="C15" s="3">
        <f t="array" ref="C15">B15-F15</f>
        <v>-2979</v>
      </c>
      <c r="D15" s="1">
        <f t="shared" ref="D15" si="4">B15+4413</f>
        <v>1954</v>
      </c>
      <c r="E15" s="1">
        <f t="shared" ref="E15" si="5">C15+4413</f>
        <v>1434</v>
      </c>
      <c r="F15" s="1">
        <v>520</v>
      </c>
      <c r="G15" s="1">
        <v>520</v>
      </c>
      <c r="H15" s="1">
        <f t="array" ref="H15">I15-G15</f>
        <v>-4934</v>
      </c>
      <c r="I15" s="1">
        <f t="array" ref="I15">H16</f>
        <v>-4414</v>
      </c>
      <c r="J15" s="1">
        <f>K15-G15-1</f>
        <v>-520</v>
      </c>
      <c r="K15" s="1">
        <f>J16</f>
        <v>1</v>
      </c>
      <c r="L15" s="7" t="s">
        <v>423</v>
      </c>
    </row>
    <row r="16" spans="1:12" ht="25.05" customHeight="1" thickBot="1" x14ac:dyDescent="0.3">
      <c r="A16" s="2" t="s">
        <v>12</v>
      </c>
      <c r="B16" s="3">
        <v>-2539</v>
      </c>
      <c r="C16" s="3">
        <v>-2459</v>
      </c>
      <c r="D16" s="1">
        <f>B16+4413</f>
        <v>1874</v>
      </c>
      <c r="E16" s="1">
        <f>C16+4413</f>
        <v>1954</v>
      </c>
      <c r="F16" s="1">
        <v>80</v>
      </c>
      <c r="G16" s="1">
        <v>80</v>
      </c>
      <c r="H16" s="1">
        <f>-4414</f>
        <v>-4414</v>
      </c>
      <c r="I16" s="1">
        <f t="array" ref="I16">H16+G16</f>
        <v>-4334</v>
      </c>
      <c r="J16" s="1">
        <v>1</v>
      </c>
      <c r="K16" s="1">
        <f>J16+G16-1</f>
        <v>80</v>
      </c>
      <c r="L16" s="7" t="s">
        <v>429</v>
      </c>
    </row>
    <row r="17" spans="1:12" ht="25.05" customHeight="1" thickBot="1" x14ac:dyDescent="0.3">
      <c r="A17" s="8" t="s">
        <v>413</v>
      </c>
      <c r="B17" s="3">
        <v>-2459</v>
      </c>
      <c r="C17" s="3">
        <v>-2375</v>
      </c>
      <c r="D17" s="1">
        <f t="shared" ref="D17:D22" si="6">B17+4413</f>
        <v>1954</v>
      </c>
      <c r="E17" s="1">
        <f t="shared" ref="E17:E22" si="7">C17+4413</f>
        <v>2038</v>
      </c>
      <c r="F17" s="1">
        <v>0</v>
      </c>
      <c r="G17" s="1">
        <v>0</v>
      </c>
      <c r="H17" s="1">
        <f>I16</f>
        <v>-4334</v>
      </c>
      <c r="I17" s="1">
        <f t="array" ref="I17">H17+G17</f>
        <v>-4334</v>
      </c>
      <c r="J17" s="1">
        <f t="array" ref="J17">K16</f>
        <v>80</v>
      </c>
      <c r="K17" s="1">
        <f t="array" ref="K17">J17+G17</f>
        <v>80</v>
      </c>
      <c r="L17" s="7" t="s">
        <v>424</v>
      </c>
    </row>
    <row r="18" spans="1:12" ht="25.05" customHeight="1" thickBot="1" x14ac:dyDescent="0.3">
      <c r="A18" s="2" t="s">
        <v>13</v>
      </c>
      <c r="B18" s="3">
        <v>-2375</v>
      </c>
      <c r="C18" s="3">
        <v>-2297</v>
      </c>
      <c r="D18" s="1">
        <f t="shared" si="6"/>
        <v>2038</v>
      </c>
      <c r="E18" s="1">
        <f t="shared" si="7"/>
        <v>2116</v>
      </c>
      <c r="F18" s="1">
        <f t="array" ref="F18">C18-B18</f>
        <v>78</v>
      </c>
      <c r="G18" s="1">
        <v>78</v>
      </c>
      <c r="H18" s="1">
        <f>I17</f>
        <v>-4334</v>
      </c>
      <c r="I18" s="1">
        <f t="array" ref="I18">H18+G18</f>
        <v>-4256</v>
      </c>
      <c r="J18" s="1">
        <f t="array" ref="J18">K17</f>
        <v>80</v>
      </c>
      <c r="K18" s="1">
        <f t="array" ref="K18">J18+G18</f>
        <v>158</v>
      </c>
      <c r="L18" s="7" t="s">
        <v>414</v>
      </c>
    </row>
    <row r="19" spans="1:12" ht="25.05" customHeight="1" thickBot="1" x14ac:dyDescent="0.3">
      <c r="A19" s="2" t="s">
        <v>14</v>
      </c>
      <c r="B19" s="3">
        <v>-2297</v>
      </c>
      <c r="C19" s="3">
        <v>-2227</v>
      </c>
      <c r="D19" s="1">
        <f t="shared" si="6"/>
        <v>2116</v>
      </c>
      <c r="E19" s="1">
        <f t="shared" si="7"/>
        <v>2186</v>
      </c>
      <c r="F19" s="1">
        <f t="array" ref="F19">C19-B19</f>
        <v>70</v>
      </c>
      <c r="G19" s="1">
        <v>70</v>
      </c>
      <c r="H19" s="1">
        <f t="shared" ref="H19:H42" si="8">I18</f>
        <v>-4256</v>
      </c>
      <c r="I19" s="1">
        <f t="array" ref="I19">H19+G19</f>
        <v>-4186</v>
      </c>
      <c r="J19" s="1">
        <f t="array" ref="J19">K18</f>
        <v>158</v>
      </c>
      <c r="K19" s="1">
        <f t="array" ref="K19">J19+G19</f>
        <v>228</v>
      </c>
      <c r="L19" s="7" t="s">
        <v>425</v>
      </c>
    </row>
    <row r="20" spans="1:12" ht="25.05" customHeight="1" thickBot="1" x14ac:dyDescent="0.3">
      <c r="A20" s="2" t="s">
        <v>15</v>
      </c>
      <c r="B20" s="3">
        <v>-2227</v>
      </c>
      <c r="C20" s="3">
        <v>-2218</v>
      </c>
      <c r="D20" s="1">
        <f t="shared" si="6"/>
        <v>2186</v>
      </c>
      <c r="E20" s="1">
        <f t="shared" si="7"/>
        <v>2195</v>
      </c>
      <c r="F20" s="1">
        <f t="array" ref="F20">C20-B20</f>
        <v>9</v>
      </c>
      <c r="G20" s="1">
        <v>9</v>
      </c>
      <c r="H20" s="1">
        <f t="shared" si="8"/>
        <v>-4186</v>
      </c>
      <c r="I20" s="1">
        <f t="array" ref="I20">H20+G20</f>
        <v>-4177</v>
      </c>
      <c r="J20" s="1">
        <f t="array" ref="J20">K19</f>
        <v>228</v>
      </c>
      <c r="K20" s="1">
        <f t="array" ref="K20">J20+G20</f>
        <v>237</v>
      </c>
      <c r="L20" s="7" t="s">
        <v>426</v>
      </c>
    </row>
    <row r="21" spans="1:12" ht="25.05" customHeight="1" thickBot="1" x14ac:dyDescent="0.3">
      <c r="A21" s="2" t="s">
        <v>16</v>
      </c>
      <c r="B21" s="3">
        <v>-2218</v>
      </c>
      <c r="C21" s="3">
        <v>-2120</v>
      </c>
      <c r="D21" s="1">
        <f t="shared" si="6"/>
        <v>2195</v>
      </c>
      <c r="E21" s="1">
        <f t="shared" si="7"/>
        <v>2293</v>
      </c>
      <c r="F21" s="1">
        <f t="array" ref="F21">C21-B21</f>
        <v>98</v>
      </c>
      <c r="G21" s="1">
        <v>98</v>
      </c>
      <c r="H21" s="1">
        <f t="shared" si="8"/>
        <v>-4177</v>
      </c>
      <c r="I21" s="1">
        <f t="array" ref="I21">H21+G21</f>
        <v>-4079</v>
      </c>
      <c r="J21" s="1">
        <f t="array" ref="J21">K20</f>
        <v>237</v>
      </c>
      <c r="K21" s="1">
        <f t="array" ref="K21">J21+G21</f>
        <v>335</v>
      </c>
      <c r="L21" s="7" t="s">
        <v>410</v>
      </c>
    </row>
    <row r="22" spans="1:12" ht="25.05" customHeight="1" thickBot="1" x14ac:dyDescent="0.3">
      <c r="A22" s="2" t="s">
        <v>17</v>
      </c>
      <c r="B22" s="3">
        <v>-2120</v>
      </c>
      <c r="C22" s="3">
        <v>-2070</v>
      </c>
      <c r="D22" s="1">
        <f t="shared" si="6"/>
        <v>2293</v>
      </c>
      <c r="E22" s="1">
        <f t="shared" si="7"/>
        <v>2343</v>
      </c>
      <c r="F22" s="1">
        <f t="array" ref="F22">C22-B22</f>
        <v>50</v>
      </c>
      <c r="G22" s="1">
        <v>50</v>
      </c>
      <c r="H22" s="1">
        <f t="shared" si="8"/>
        <v>-4079</v>
      </c>
      <c r="I22" s="1">
        <f t="array" ref="I22">H22+G22</f>
        <v>-4029</v>
      </c>
      <c r="J22" s="1">
        <f t="array" ref="J22">K21</f>
        <v>335</v>
      </c>
      <c r="K22" s="1">
        <f t="array" ref="K22">J22+G22</f>
        <v>385</v>
      </c>
      <c r="L22" s="7" t="s">
        <v>411</v>
      </c>
    </row>
    <row r="23" spans="1:12" ht="25.05" customHeight="1" thickBot="1" x14ac:dyDescent="0.3">
      <c r="A23" s="5" t="s">
        <v>18</v>
      </c>
      <c r="B23" s="6">
        <v>-2070</v>
      </c>
      <c r="C23" s="6">
        <v>-1600</v>
      </c>
      <c r="D23" s="1">
        <f>B23+4413</f>
        <v>2343</v>
      </c>
      <c r="E23" s="1">
        <f>C23+4413</f>
        <v>2813</v>
      </c>
      <c r="F23" s="1">
        <f t="array" ref="F23">C23-B23</f>
        <v>470</v>
      </c>
      <c r="G23" s="1">
        <v>470</v>
      </c>
      <c r="H23" s="1">
        <f t="shared" si="8"/>
        <v>-4029</v>
      </c>
      <c r="I23" s="1">
        <f t="array" ref="I23">H23+G23</f>
        <v>-3559</v>
      </c>
      <c r="J23" s="1">
        <f t="array" ref="J23">K22</f>
        <v>385</v>
      </c>
      <c r="K23" s="1">
        <f t="array" ref="K23">J23+G23</f>
        <v>855</v>
      </c>
      <c r="L23" s="7" t="s">
        <v>412</v>
      </c>
    </row>
    <row r="24" spans="1:12" ht="25.05" customHeight="1" thickBot="1" x14ac:dyDescent="0.3">
      <c r="A24" s="5" t="s">
        <v>19</v>
      </c>
      <c r="B24" s="6">
        <v>-1600</v>
      </c>
      <c r="C24" s="6">
        <v>-1046</v>
      </c>
      <c r="D24" s="1">
        <f t="shared" ref="D24:D43" si="9">B24+4413</f>
        <v>2813</v>
      </c>
      <c r="E24" s="1">
        <f t="shared" ref="E24:E42" si="10">C24+4413</f>
        <v>3367</v>
      </c>
      <c r="F24" s="1">
        <f t="array" ref="F24">C24-B24</f>
        <v>554</v>
      </c>
      <c r="G24" s="1">
        <v>554</v>
      </c>
      <c r="H24" s="1">
        <f t="shared" si="8"/>
        <v>-3559</v>
      </c>
      <c r="I24" s="1">
        <f t="array" ref="I24">H24+G24</f>
        <v>-3005</v>
      </c>
      <c r="J24" s="1">
        <f t="array" ref="J24">K23</f>
        <v>855</v>
      </c>
      <c r="K24" s="1">
        <f t="array" ref="K24">J24+G24</f>
        <v>1409</v>
      </c>
      <c r="L24" s="7" t="s">
        <v>408</v>
      </c>
    </row>
    <row r="25" spans="1:12" ht="25.05" customHeight="1" thickBot="1" x14ac:dyDescent="0.3">
      <c r="A25" s="5" t="s">
        <v>20</v>
      </c>
      <c r="B25" s="6">
        <v>-1046</v>
      </c>
      <c r="C25" s="6">
        <v>-771</v>
      </c>
      <c r="D25" s="1">
        <f t="shared" si="9"/>
        <v>3367</v>
      </c>
      <c r="E25" s="1">
        <f t="shared" si="10"/>
        <v>3642</v>
      </c>
      <c r="F25" s="1">
        <f t="array" ref="F25">C25-B25</f>
        <v>275</v>
      </c>
      <c r="G25" s="1">
        <v>275</v>
      </c>
      <c r="H25" s="1">
        <f t="shared" si="8"/>
        <v>-3005</v>
      </c>
      <c r="I25" s="1">
        <f t="array" ref="I25">H25+G25</f>
        <v>-2730</v>
      </c>
      <c r="J25" s="1">
        <f t="array" ref="J25">K24</f>
        <v>1409</v>
      </c>
      <c r="K25" s="1">
        <f t="array" ref="K25">J25+G25</f>
        <v>1684</v>
      </c>
      <c r="L25" s="7" t="s">
        <v>409</v>
      </c>
    </row>
    <row r="26" spans="1:12" ht="25.05" customHeight="1" thickBot="1" x14ac:dyDescent="0.3">
      <c r="A26" s="5" t="s">
        <v>21</v>
      </c>
      <c r="B26" s="6">
        <v>-770</v>
      </c>
      <c r="C26" s="6">
        <v>-221</v>
      </c>
      <c r="D26" s="1">
        <f t="shared" si="9"/>
        <v>3643</v>
      </c>
      <c r="E26" s="1">
        <f t="shared" si="10"/>
        <v>4192</v>
      </c>
      <c r="F26" s="1">
        <f t="array" ref="F26">C26-B26</f>
        <v>549</v>
      </c>
      <c r="G26" s="1">
        <v>549</v>
      </c>
      <c r="H26" s="1">
        <f t="shared" si="8"/>
        <v>-2730</v>
      </c>
      <c r="I26" s="1">
        <f t="array" ref="I26">H26+G26</f>
        <v>-2181</v>
      </c>
      <c r="J26" s="1">
        <f t="array" ref="J26">K25</f>
        <v>1684</v>
      </c>
      <c r="K26" s="1">
        <f t="array" ref="K26">J26+G26</f>
        <v>2233</v>
      </c>
    </row>
    <row r="27" spans="1:12" ht="25.05" customHeight="1" thickBot="1" x14ac:dyDescent="0.3">
      <c r="A27" s="5" t="s">
        <v>22</v>
      </c>
      <c r="B27" s="6">
        <v>-221</v>
      </c>
      <c r="C27" s="6">
        <v>-207</v>
      </c>
      <c r="D27" s="1">
        <f t="shared" si="9"/>
        <v>4192</v>
      </c>
      <c r="E27" s="1">
        <f t="shared" si="10"/>
        <v>4206</v>
      </c>
      <c r="F27" s="1">
        <f t="array" ref="F27">C27-B27</f>
        <v>14</v>
      </c>
      <c r="G27" s="1">
        <v>14</v>
      </c>
      <c r="H27" s="1">
        <f t="shared" si="8"/>
        <v>-2181</v>
      </c>
      <c r="I27" s="1">
        <f t="array" ref="I27">H27+G27</f>
        <v>-2167</v>
      </c>
      <c r="J27" s="1">
        <f t="array" ref="J27">K26</f>
        <v>2233</v>
      </c>
      <c r="K27" s="1">
        <f t="array" ref="K27">J27+G27</f>
        <v>2247</v>
      </c>
      <c r="L27" s="7" t="s">
        <v>46</v>
      </c>
    </row>
    <row r="28" spans="1:12" ht="25.05" customHeight="1" thickBot="1" x14ac:dyDescent="0.3">
      <c r="A28" s="5" t="s">
        <v>23</v>
      </c>
      <c r="B28" s="6">
        <v>-202</v>
      </c>
      <c r="C28" s="6">
        <v>8</v>
      </c>
      <c r="D28" s="1">
        <f t="shared" si="9"/>
        <v>4211</v>
      </c>
      <c r="E28" s="1">
        <f t="shared" si="10"/>
        <v>4421</v>
      </c>
      <c r="F28" s="1">
        <f t="array" ref="F28">C28-B28</f>
        <v>210</v>
      </c>
      <c r="G28" s="1">
        <v>1289</v>
      </c>
      <c r="H28" s="1">
        <f t="shared" si="8"/>
        <v>-2167</v>
      </c>
      <c r="I28" s="1">
        <f t="array" ref="I28">H28+G28</f>
        <v>-878</v>
      </c>
      <c r="J28" s="1">
        <f t="array" ref="J28">K27</f>
        <v>2247</v>
      </c>
      <c r="K28" s="1">
        <f t="array" ref="K28">J28+G28</f>
        <v>3536</v>
      </c>
      <c r="L28" s="1" t="s">
        <v>24</v>
      </c>
    </row>
    <row r="29" spans="1:12" ht="25.05" customHeight="1" thickBot="1" x14ac:dyDescent="0.3">
      <c r="A29" s="5" t="s">
        <v>25</v>
      </c>
      <c r="B29" s="6">
        <v>9</v>
      </c>
      <c r="C29" s="6">
        <v>23</v>
      </c>
      <c r="D29" s="1">
        <f t="shared" si="9"/>
        <v>4422</v>
      </c>
      <c r="E29" s="1">
        <f t="shared" si="10"/>
        <v>4436</v>
      </c>
      <c r="F29" s="1">
        <f t="array" ref="F29">C29-B29</f>
        <v>14</v>
      </c>
      <c r="G29" s="1">
        <v>14</v>
      </c>
      <c r="H29" s="1">
        <f t="shared" si="8"/>
        <v>-878</v>
      </c>
      <c r="I29" s="1">
        <f t="array" ref="I29">H29+G29</f>
        <v>-864</v>
      </c>
      <c r="J29" s="1">
        <f t="array" ref="J29">K28</f>
        <v>3536</v>
      </c>
      <c r="K29" s="1">
        <f t="array" ref="K29">J29+G29</f>
        <v>3550</v>
      </c>
      <c r="L29" s="1" t="s">
        <v>26</v>
      </c>
    </row>
    <row r="30" spans="1:12" ht="25.05" customHeight="1" thickBot="1" x14ac:dyDescent="0.3">
      <c r="A30" s="5" t="s">
        <v>27</v>
      </c>
      <c r="B30" s="6">
        <v>25</v>
      </c>
      <c r="C30" s="6">
        <v>220</v>
      </c>
      <c r="D30" s="1">
        <f t="shared" si="9"/>
        <v>4438</v>
      </c>
      <c r="E30" s="1">
        <f t="shared" si="10"/>
        <v>4633</v>
      </c>
      <c r="F30" s="1">
        <f t="array" ref="F30">C30-B30</f>
        <v>195</v>
      </c>
      <c r="G30" s="1">
        <v>597</v>
      </c>
      <c r="H30" s="1">
        <f t="shared" si="8"/>
        <v>-864</v>
      </c>
      <c r="I30" s="1">
        <f t="array" ref="I30">H30+G30</f>
        <v>-267</v>
      </c>
      <c r="J30" s="1">
        <f t="array" ref="J30">K29</f>
        <v>3550</v>
      </c>
      <c r="K30" s="1">
        <f t="array" ref="K30">J30+G30</f>
        <v>4147</v>
      </c>
      <c r="L30" s="1" t="s">
        <v>28</v>
      </c>
    </row>
    <row r="31" spans="1:12" ht="25.05" customHeight="1" thickBot="1" x14ac:dyDescent="0.3">
      <c r="A31" s="5" t="s">
        <v>29</v>
      </c>
      <c r="B31" s="6">
        <v>220</v>
      </c>
      <c r="C31" s="6">
        <v>280</v>
      </c>
      <c r="D31" s="1">
        <f t="shared" si="9"/>
        <v>4633</v>
      </c>
      <c r="E31" s="1">
        <f t="shared" si="10"/>
        <v>4693</v>
      </c>
      <c r="F31" s="1">
        <f t="array" ref="F31">C31-B31</f>
        <v>60</v>
      </c>
      <c r="G31" s="1">
        <v>60</v>
      </c>
      <c r="H31" s="1">
        <f t="shared" si="8"/>
        <v>-267</v>
      </c>
      <c r="I31" s="1">
        <f t="array" ref="I31">H31+G31</f>
        <v>-207</v>
      </c>
      <c r="J31" s="1">
        <f t="array" ref="J31">K30</f>
        <v>4147</v>
      </c>
      <c r="K31" s="1">
        <f t="array" ref="K31">J31+G31</f>
        <v>4207</v>
      </c>
    </row>
    <row r="32" spans="1:12" ht="25.05" customHeight="1" thickBot="1" x14ac:dyDescent="0.3">
      <c r="A32" s="5" t="s">
        <v>30</v>
      </c>
      <c r="B32" s="6">
        <v>265</v>
      </c>
      <c r="C32" s="6">
        <v>316</v>
      </c>
      <c r="D32" s="1">
        <f t="shared" si="9"/>
        <v>4678</v>
      </c>
      <c r="E32" s="1">
        <f t="shared" si="10"/>
        <v>4729</v>
      </c>
      <c r="F32" s="1">
        <f t="array" ref="F32">C32-B32</f>
        <v>51</v>
      </c>
      <c r="G32" s="1">
        <v>51</v>
      </c>
      <c r="H32" s="1">
        <f t="shared" si="8"/>
        <v>-207</v>
      </c>
      <c r="I32" s="1">
        <f t="array" ref="I32">H32+G32</f>
        <v>-156</v>
      </c>
      <c r="J32" s="1">
        <f t="array" ref="J32">K31</f>
        <v>4207</v>
      </c>
      <c r="K32" s="1">
        <f t="array" ref="K32">J32+G32</f>
        <v>4258</v>
      </c>
    </row>
    <row r="33" spans="1:12" ht="25.05" customHeight="1" thickBot="1" x14ac:dyDescent="0.3">
      <c r="A33" s="5" t="s">
        <v>31</v>
      </c>
      <c r="B33" s="6">
        <v>317</v>
      </c>
      <c r="C33" s="6">
        <v>420</v>
      </c>
      <c r="D33" s="1">
        <f t="shared" si="9"/>
        <v>4730</v>
      </c>
      <c r="E33" s="1">
        <f t="shared" si="10"/>
        <v>4833</v>
      </c>
      <c r="F33" s="1">
        <f t="array" ref="F33">C33-B33</f>
        <v>103</v>
      </c>
      <c r="G33" s="1">
        <v>103</v>
      </c>
      <c r="H33" s="1">
        <f t="shared" si="8"/>
        <v>-156</v>
      </c>
      <c r="I33" s="1">
        <f t="array" ref="I33">H33+G33</f>
        <v>-53</v>
      </c>
      <c r="J33" s="1">
        <f t="array" ref="J33">K32</f>
        <v>4258</v>
      </c>
      <c r="K33" s="1">
        <f t="array" ref="K33">J33+G33</f>
        <v>4361</v>
      </c>
    </row>
    <row r="34" spans="1:12" ht="25.05" customHeight="1" thickBot="1" x14ac:dyDescent="0.3">
      <c r="A34" s="5" t="s">
        <v>32</v>
      </c>
      <c r="B34" s="6">
        <v>420</v>
      </c>
      <c r="C34" s="6">
        <v>589</v>
      </c>
      <c r="D34" s="1">
        <f t="shared" si="9"/>
        <v>4833</v>
      </c>
      <c r="E34" s="1">
        <f t="shared" si="10"/>
        <v>5002</v>
      </c>
      <c r="F34" s="1">
        <f t="array" ref="F34">C34-B34</f>
        <v>169</v>
      </c>
      <c r="G34" s="1">
        <v>169</v>
      </c>
      <c r="H34" s="1">
        <f t="shared" si="8"/>
        <v>-53</v>
      </c>
      <c r="I34" s="1">
        <f t="array" ref="I34">H34+G34</f>
        <v>116</v>
      </c>
      <c r="J34" s="1">
        <f t="array" ref="J34">K33</f>
        <v>4361</v>
      </c>
      <c r="K34" s="1">
        <f t="array" ref="K34">J34+G34</f>
        <v>4530</v>
      </c>
    </row>
    <row r="35" spans="1:12" ht="25.05" customHeight="1" thickBot="1" x14ac:dyDescent="0.3">
      <c r="A35" s="5" t="s">
        <v>33</v>
      </c>
      <c r="B35" s="6">
        <v>581</v>
      </c>
      <c r="C35" s="6">
        <v>618</v>
      </c>
      <c r="D35" s="1">
        <f t="shared" si="9"/>
        <v>4994</v>
      </c>
      <c r="E35" s="1">
        <f t="shared" si="10"/>
        <v>5031</v>
      </c>
      <c r="F35" s="1">
        <f t="array" ref="F35">C35-B35</f>
        <v>37</v>
      </c>
      <c r="G35" s="1">
        <v>0</v>
      </c>
      <c r="H35" s="1">
        <f t="shared" si="8"/>
        <v>116</v>
      </c>
      <c r="I35" s="1">
        <f t="array" ref="I35">H35+G35</f>
        <v>116</v>
      </c>
      <c r="J35" s="1">
        <f t="array" ref="J35">K34</f>
        <v>4530</v>
      </c>
      <c r="K35" s="1">
        <f t="array" ref="K35">J35+G35</f>
        <v>4530</v>
      </c>
      <c r="L35" s="7" t="s">
        <v>407</v>
      </c>
    </row>
    <row r="36" spans="1:12" ht="25.05" customHeight="1" thickBot="1" x14ac:dyDescent="0.3">
      <c r="A36" s="5" t="s">
        <v>34</v>
      </c>
      <c r="B36" s="6">
        <v>618</v>
      </c>
      <c r="C36" s="6">
        <v>907</v>
      </c>
      <c r="D36" s="1">
        <f t="shared" si="9"/>
        <v>5031</v>
      </c>
      <c r="E36" s="1">
        <f t="shared" si="10"/>
        <v>5320</v>
      </c>
      <c r="F36" s="1">
        <f t="array" ref="F36">C36-B36</f>
        <v>289</v>
      </c>
      <c r="G36" s="1">
        <v>0</v>
      </c>
      <c r="H36" s="1">
        <f t="shared" si="8"/>
        <v>116</v>
      </c>
      <c r="I36" s="1">
        <f t="array" ref="I36">H36+G36</f>
        <v>116</v>
      </c>
      <c r="J36" s="1">
        <f t="array" ref="J36">K35</f>
        <v>4530</v>
      </c>
      <c r="K36" s="1">
        <f t="array" ref="K36">J36+G36</f>
        <v>4530</v>
      </c>
      <c r="L36" s="1" t="s">
        <v>35</v>
      </c>
    </row>
    <row r="37" spans="1:12" ht="25.05" customHeight="1" thickBot="1" x14ac:dyDescent="0.3">
      <c r="A37" s="5" t="s">
        <v>36</v>
      </c>
      <c r="B37" s="6">
        <v>907</v>
      </c>
      <c r="C37" s="6">
        <v>960</v>
      </c>
      <c r="D37" s="1">
        <f t="shared" si="9"/>
        <v>5320</v>
      </c>
      <c r="E37" s="1">
        <f t="shared" si="10"/>
        <v>5373</v>
      </c>
      <c r="F37" s="1">
        <f t="array" ref="F37">C37-B37</f>
        <v>53</v>
      </c>
      <c r="G37" s="1">
        <v>53</v>
      </c>
      <c r="H37" s="1">
        <f t="shared" si="8"/>
        <v>116</v>
      </c>
      <c r="I37" s="1">
        <f t="array" ref="I37">H37+G37</f>
        <v>169</v>
      </c>
      <c r="J37" s="1">
        <f t="array" ref="J37">K36</f>
        <v>4530</v>
      </c>
      <c r="K37" s="1">
        <f t="array" ref="K37">J37+G37</f>
        <v>4583</v>
      </c>
    </row>
    <row r="38" spans="1:12" ht="25.05" customHeight="1" thickBot="1" x14ac:dyDescent="0.3">
      <c r="A38" s="5" t="s">
        <v>37</v>
      </c>
      <c r="B38" s="6">
        <v>960</v>
      </c>
      <c r="C38" s="6">
        <v>1127</v>
      </c>
      <c r="D38" s="1">
        <f t="shared" si="9"/>
        <v>5373</v>
      </c>
      <c r="E38" s="1">
        <f t="shared" si="10"/>
        <v>5540</v>
      </c>
      <c r="F38" s="1">
        <f t="array" ref="F38">C38-B38</f>
        <v>167</v>
      </c>
      <c r="G38" s="1">
        <v>1100</v>
      </c>
      <c r="H38" s="1">
        <f t="shared" si="8"/>
        <v>169</v>
      </c>
      <c r="I38" s="1">
        <f t="array" ref="I38">H38+G38</f>
        <v>1269</v>
      </c>
      <c r="J38" s="1">
        <f t="array" ref="J38">K37</f>
        <v>4583</v>
      </c>
      <c r="K38" s="1">
        <f t="array" ref="K38">J38+G38</f>
        <v>5683</v>
      </c>
      <c r="L38" s="1" t="s">
        <v>38</v>
      </c>
    </row>
    <row r="39" spans="1:12" ht="25.05" customHeight="1" thickBot="1" x14ac:dyDescent="0.3">
      <c r="A39" s="5" t="s">
        <v>39</v>
      </c>
      <c r="B39" s="6">
        <v>1127</v>
      </c>
      <c r="C39" s="6">
        <v>1279</v>
      </c>
      <c r="D39" s="1">
        <f t="shared" si="9"/>
        <v>5540</v>
      </c>
      <c r="E39" s="1">
        <f t="shared" si="10"/>
        <v>5692</v>
      </c>
      <c r="F39" s="1">
        <f t="array" ref="F39">C39-B39</f>
        <v>152</v>
      </c>
      <c r="G39" s="1">
        <v>0</v>
      </c>
      <c r="H39" s="1">
        <f t="shared" si="8"/>
        <v>1269</v>
      </c>
      <c r="I39" s="1">
        <f t="array" ref="I39">H39+G39</f>
        <v>1269</v>
      </c>
      <c r="J39" s="1">
        <f t="array" ref="J39">K38</f>
        <v>5683</v>
      </c>
      <c r="K39" s="1">
        <f t="array" ref="K39">J39+G39</f>
        <v>5683</v>
      </c>
    </row>
    <row r="40" spans="1:12" ht="25.05" customHeight="1" thickBot="1" x14ac:dyDescent="0.3">
      <c r="A40" s="5" t="s">
        <v>40</v>
      </c>
      <c r="B40" s="6">
        <v>1271</v>
      </c>
      <c r="C40" s="6">
        <v>1368</v>
      </c>
      <c r="D40" s="1">
        <f t="shared" si="9"/>
        <v>5684</v>
      </c>
      <c r="E40" s="1">
        <f t="shared" si="10"/>
        <v>5781</v>
      </c>
      <c r="F40" s="1">
        <f t="array" ref="F40">C40-B40</f>
        <v>97</v>
      </c>
      <c r="G40" s="1">
        <v>0</v>
      </c>
      <c r="H40" s="1">
        <f t="shared" si="8"/>
        <v>1269</v>
      </c>
      <c r="I40" s="1">
        <f t="array" ref="I40">H40+G40</f>
        <v>1269</v>
      </c>
      <c r="J40" s="1">
        <f t="array" ref="J40">K39</f>
        <v>5683</v>
      </c>
      <c r="K40" s="1">
        <f t="array" ref="K40">J40+G40</f>
        <v>5683</v>
      </c>
      <c r="L40" s="1" t="s">
        <v>41</v>
      </c>
    </row>
    <row r="41" spans="1:12" ht="25.05" customHeight="1" thickBot="1" x14ac:dyDescent="0.3">
      <c r="A41" s="5" t="s">
        <v>42</v>
      </c>
      <c r="B41" s="6">
        <v>1368</v>
      </c>
      <c r="C41" s="6">
        <v>1644</v>
      </c>
      <c r="D41" s="1">
        <f t="shared" si="9"/>
        <v>5781</v>
      </c>
      <c r="E41" s="1">
        <f t="shared" si="10"/>
        <v>6057</v>
      </c>
      <c r="F41" s="1">
        <f t="array" ref="F41">C41-B41</f>
        <v>276</v>
      </c>
      <c r="G41" s="1">
        <v>578</v>
      </c>
      <c r="H41" s="1">
        <f t="shared" si="8"/>
        <v>1269</v>
      </c>
      <c r="I41" s="1">
        <f t="array" ref="I41">H41+G41</f>
        <v>1847</v>
      </c>
      <c r="J41" s="1">
        <f t="array" ref="J41">K40</f>
        <v>5683</v>
      </c>
      <c r="K41" s="1">
        <f t="array" ref="K41">J41+G41</f>
        <v>6261</v>
      </c>
      <c r="L41" s="1" t="s">
        <v>43</v>
      </c>
    </row>
    <row r="42" spans="1:12" ht="25.05" customHeight="1" thickBot="1" x14ac:dyDescent="0.3">
      <c r="A42" s="5" t="s">
        <v>44</v>
      </c>
      <c r="B42" s="6">
        <v>1644</v>
      </c>
      <c r="C42" s="6">
        <v>1912</v>
      </c>
      <c r="D42" s="1">
        <f t="shared" si="9"/>
        <v>6057</v>
      </c>
      <c r="E42" s="1">
        <f t="shared" si="10"/>
        <v>6325</v>
      </c>
      <c r="F42" s="1">
        <f t="array" ref="F42">C42-B42</f>
        <v>268</v>
      </c>
      <c r="G42" s="1">
        <v>65</v>
      </c>
      <c r="H42" s="1">
        <f t="shared" si="8"/>
        <v>1847</v>
      </c>
      <c r="I42" s="1">
        <f t="array" ref="I42">H42+G42</f>
        <v>1912</v>
      </c>
      <c r="J42" s="1">
        <f t="array" ref="J42">K41</f>
        <v>6261</v>
      </c>
      <c r="K42" s="1">
        <f t="array" ref="K42">J42+G42</f>
        <v>6326</v>
      </c>
      <c r="L42" s="1" t="s">
        <v>45</v>
      </c>
    </row>
    <row r="43" spans="1:12" ht="25.05" customHeight="1" x14ac:dyDescent="0.25">
      <c r="A43" s="7" t="s">
        <v>428</v>
      </c>
      <c r="B43" s="1">
        <v>2026</v>
      </c>
      <c r="D43" s="1">
        <f t="shared" si="9"/>
        <v>6439</v>
      </c>
    </row>
  </sheetData>
  <phoneticPr fontId="4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523-8A88-4FA8-8AD8-9CEC8BA3DC9C}">
  <dimension ref="A1:B74"/>
  <sheetViews>
    <sheetView topLeftCell="A31" workbookViewId="0">
      <selection activeCell="B78" sqref="B78"/>
    </sheetView>
  </sheetViews>
  <sheetFormatPr defaultRowHeight="14.4" x14ac:dyDescent="0.25"/>
  <cols>
    <col min="1" max="1" width="6.21875" customWidth="1"/>
    <col min="2" max="2" width="84.5546875" customWidth="1"/>
  </cols>
  <sheetData>
    <row r="1" spans="1:2" x14ac:dyDescent="0.25">
      <c r="A1" s="9" t="s">
        <v>65</v>
      </c>
    </row>
    <row r="2" spans="1:2" x14ac:dyDescent="0.25">
      <c r="A2" s="9" t="s">
        <v>66</v>
      </c>
      <c r="B2" s="9" t="s">
        <v>67</v>
      </c>
    </row>
    <row r="3" spans="1:2" x14ac:dyDescent="0.25">
      <c r="A3">
        <v>1</v>
      </c>
      <c r="B3" s="9" t="s">
        <v>71</v>
      </c>
    </row>
    <row r="4" spans="1:2" x14ac:dyDescent="0.25">
      <c r="A4">
        <v>2</v>
      </c>
      <c r="B4" s="9" t="s">
        <v>74</v>
      </c>
    </row>
    <row r="5" spans="1:2" x14ac:dyDescent="0.25">
      <c r="A5">
        <v>3</v>
      </c>
      <c r="B5" s="9" t="s">
        <v>376</v>
      </c>
    </row>
    <row r="6" spans="1:2" x14ac:dyDescent="0.25">
      <c r="A6">
        <v>4</v>
      </c>
      <c r="B6" s="9" t="s">
        <v>77</v>
      </c>
    </row>
    <row r="7" spans="1:2" x14ac:dyDescent="0.25">
      <c r="A7">
        <v>5</v>
      </c>
      <c r="B7" s="9" t="s">
        <v>78</v>
      </c>
    </row>
    <row r="8" spans="1:2" x14ac:dyDescent="0.25">
      <c r="A8">
        <v>6</v>
      </c>
      <c r="B8" s="9" t="s">
        <v>356</v>
      </c>
    </row>
    <row r="9" spans="1:2" x14ac:dyDescent="0.25">
      <c r="A9">
        <v>7</v>
      </c>
      <c r="B9" s="9" t="s">
        <v>377</v>
      </c>
    </row>
    <row r="10" spans="1:2" x14ac:dyDescent="0.25">
      <c r="A10">
        <v>8</v>
      </c>
      <c r="B10" s="9" t="s">
        <v>79</v>
      </c>
    </row>
    <row r="11" spans="1:2" x14ac:dyDescent="0.25">
      <c r="A11">
        <v>9</v>
      </c>
      <c r="B11" s="9" t="s">
        <v>80</v>
      </c>
    </row>
    <row r="12" spans="1:2" x14ac:dyDescent="0.25">
      <c r="A12">
        <v>10</v>
      </c>
      <c r="B12" s="9" t="s">
        <v>81</v>
      </c>
    </row>
    <row r="13" spans="1:2" x14ac:dyDescent="0.25">
      <c r="A13">
        <v>11</v>
      </c>
      <c r="B13" s="9" t="s">
        <v>82</v>
      </c>
    </row>
    <row r="14" spans="1:2" x14ac:dyDescent="0.25">
      <c r="A14">
        <v>12</v>
      </c>
      <c r="B14" s="9" t="s">
        <v>83</v>
      </c>
    </row>
    <row r="15" spans="1:2" x14ac:dyDescent="0.25">
      <c r="A15">
        <v>13</v>
      </c>
      <c r="B15" s="9" t="s">
        <v>385</v>
      </c>
    </row>
    <row r="16" spans="1:2" x14ac:dyDescent="0.25">
      <c r="A16">
        <v>14</v>
      </c>
      <c r="B16" s="9" t="s">
        <v>84</v>
      </c>
    </row>
    <row r="17" spans="1:2" x14ac:dyDescent="0.25">
      <c r="A17">
        <v>15</v>
      </c>
      <c r="B17" s="9" t="s">
        <v>85</v>
      </c>
    </row>
    <row r="18" spans="1:2" x14ac:dyDescent="0.25">
      <c r="A18">
        <v>16</v>
      </c>
      <c r="B18" s="9" t="s">
        <v>88</v>
      </c>
    </row>
    <row r="19" spans="1:2" x14ac:dyDescent="0.25">
      <c r="A19">
        <v>17</v>
      </c>
      <c r="B19" s="9" t="s">
        <v>89</v>
      </c>
    </row>
    <row r="20" spans="1:2" x14ac:dyDescent="0.25">
      <c r="A20">
        <v>18</v>
      </c>
      <c r="B20" s="9" t="s">
        <v>90</v>
      </c>
    </row>
    <row r="21" spans="1:2" x14ac:dyDescent="0.25">
      <c r="A21">
        <v>19</v>
      </c>
      <c r="B21" s="9" t="s">
        <v>91</v>
      </c>
    </row>
    <row r="22" spans="1:2" x14ac:dyDescent="0.25">
      <c r="A22">
        <v>20</v>
      </c>
      <c r="B22" s="9" t="s">
        <v>92</v>
      </c>
    </row>
    <row r="23" spans="1:2" x14ac:dyDescent="0.25">
      <c r="A23">
        <v>21</v>
      </c>
      <c r="B23" s="9" t="s">
        <v>347</v>
      </c>
    </row>
    <row r="24" spans="1:2" x14ac:dyDescent="0.25">
      <c r="A24">
        <v>22</v>
      </c>
      <c r="B24" s="9" t="s">
        <v>348</v>
      </c>
    </row>
    <row r="25" spans="1:2" x14ac:dyDescent="0.25">
      <c r="A25">
        <v>23</v>
      </c>
      <c r="B25" s="9" t="s">
        <v>349</v>
      </c>
    </row>
    <row r="26" spans="1:2" x14ac:dyDescent="0.25">
      <c r="A26">
        <v>24</v>
      </c>
      <c r="B26" s="9" t="s">
        <v>350</v>
      </c>
    </row>
    <row r="27" spans="1:2" x14ac:dyDescent="0.25">
      <c r="A27">
        <v>25</v>
      </c>
      <c r="B27" s="9" t="s">
        <v>351</v>
      </c>
    </row>
    <row r="28" spans="1:2" x14ac:dyDescent="0.25">
      <c r="A28">
        <v>26</v>
      </c>
      <c r="B28" s="9" t="s">
        <v>352</v>
      </c>
    </row>
    <row r="29" spans="1:2" x14ac:dyDescent="0.25">
      <c r="A29">
        <v>27</v>
      </c>
      <c r="B29" s="9" t="s">
        <v>353</v>
      </c>
    </row>
    <row r="30" spans="1:2" x14ac:dyDescent="0.25">
      <c r="A30">
        <v>28</v>
      </c>
      <c r="B30" s="9" t="s">
        <v>357</v>
      </c>
    </row>
    <row r="31" spans="1:2" x14ac:dyDescent="0.25">
      <c r="A31">
        <v>29</v>
      </c>
      <c r="B31" s="9" t="s">
        <v>358</v>
      </c>
    </row>
    <row r="32" spans="1:2" x14ac:dyDescent="0.25">
      <c r="A32">
        <v>30</v>
      </c>
      <c r="B32" s="9" t="s">
        <v>359</v>
      </c>
    </row>
    <row r="33" spans="1:2" x14ac:dyDescent="0.25">
      <c r="A33">
        <v>31</v>
      </c>
      <c r="B33" s="9" t="s">
        <v>360</v>
      </c>
    </row>
    <row r="34" spans="1:2" x14ac:dyDescent="0.25">
      <c r="A34">
        <v>32</v>
      </c>
      <c r="B34" s="9" t="s">
        <v>362</v>
      </c>
    </row>
    <row r="35" spans="1:2" x14ac:dyDescent="0.25">
      <c r="A35">
        <v>33</v>
      </c>
      <c r="B35" s="9" t="s">
        <v>361</v>
      </c>
    </row>
    <row r="36" spans="1:2" x14ac:dyDescent="0.25">
      <c r="A36">
        <v>34</v>
      </c>
      <c r="B36" s="9" t="s">
        <v>365</v>
      </c>
    </row>
    <row r="37" spans="1:2" x14ac:dyDescent="0.25">
      <c r="A37">
        <v>35</v>
      </c>
      <c r="B37" s="9" t="s">
        <v>366</v>
      </c>
    </row>
    <row r="38" spans="1:2" x14ac:dyDescent="0.25">
      <c r="A38">
        <v>36</v>
      </c>
      <c r="B38" s="9" t="s">
        <v>367</v>
      </c>
    </row>
    <row r="39" spans="1:2" x14ac:dyDescent="0.25">
      <c r="A39">
        <v>37</v>
      </c>
      <c r="B39" s="9" t="s">
        <v>368</v>
      </c>
    </row>
    <row r="40" spans="1:2" x14ac:dyDescent="0.25">
      <c r="A40">
        <v>38</v>
      </c>
      <c r="B40" s="9" t="s">
        <v>369</v>
      </c>
    </row>
    <row r="41" spans="1:2" x14ac:dyDescent="0.25">
      <c r="A41">
        <v>39</v>
      </c>
      <c r="B41" s="9" t="s">
        <v>370</v>
      </c>
    </row>
    <row r="42" spans="1:2" x14ac:dyDescent="0.25">
      <c r="A42">
        <v>40</v>
      </c>
      <c r="B42" s="9" t="s">
        <v>371</v>
      </c>
    </row>
    <row r="43" spans="1:2" x14ac:dyDescent="0.25">
      <c r="A43">
        <v>41</v>
      </c>
      <c r="B43" s="9" t="s">
        <v>374</v>
      </c>
    </row>
    <row r="44" spans="1:2" x14ac:dyDescent="0.25">
      <c r="A44">
        <v>42</v>
      </c>
      <c r="B44" s="9" t="s">
        <v>372</v>
      </c>
    </row>
    <row r="45" spans="1:2" x14ac:dyDescent="0.25">
      <c r="A45">
        <v>43</v>
      </c>
      <c r="B45" s="9" t="s">
        <v>373</v>
      </c>
    </row>
    <row r="46" spans="1:2" x14ac:dyDescent="0.25">
      <c r="A46">
        <v>44</v>
      </c>
      <c r="B46" s="9" t="s">
        <v>375</v>
      </c>
    </row>
    <row r="47" spans="1:2" x14ac:dyDescent="0.25">
      <c r="A47">
        <v>45</v>
      </c>
      <c r="B47" s="9" t="s">
        <v>380</v>
      </c>
    </row>
    <row r="48" spans="1:2" x14ac:dyDescent="0.25">
      <c r="A48">
        <v>46</v>
      </c>
      <c r="B48" s="9" t="s">
        <v>378</v>
      </c>
    </row>
    <row r="49" spans="1:2" x14ac:dyDescent="0.25">
      <c r="A49">
        <v>47</v>
      </c>
      <c r="B49" s="9" t="s">
        <v>379</v>
      </c>
    </row>
    <row r="50" spans="1:2" x14ac:dyDescent="0.25">
      <c r="A50">
        <v>48</v>
      </c>
      <c r="B50" s="9" t="s">
        <v>381</v>
      </c>
    </row>
    <row r="51" spans="1:2" x14ac:dyDescent="0.25">
      <c r="A51">
        <v>49</v>
      </c>
      <c r="B51" s="9" t="s">
        <v>382</v>
      </c>
    </row>
    <row r="52" spans="1:2" x14ac:dyDescent="0.25">
      <c r="A52">
        <v>50</v>
      </c>
      <c r="B52" s="9" t="s">
        <v>383</v>
      </c>
    </row>
    <row r="53" spans="1:2" x14ac:dyDescent="0.25">
      <c r="A53">
        <v>51</v>
      </c>
      <c r="B53" s="9" t="s">
        <v>384</v>
      </c>
    </row>
    <row r="54" spans="1:2" x14ac:dyDescent="0.25">
      <c r="A54">
        <v>52</v>
      </c>
      <c r="B54" s="9" t="s">
        <v>386</v>
      </c>
    </row>
    <row r="55" spans="1:2" x14ac:dyDescent="0.25">
      <c r="A55">
        <v>53</v>
      </c>
      <c r="B55" s="9" t="s">
        <v>387</v>
      </c>
    </row>
    <row r="56" spans="1:2" x14ac:dyDescent="0.25">
      <c r="A56">
        <v>54</v>
      </c>
      <c r="B56" s="9" t="s">
        <v>388</v>
      </c>
    </row>
    <row r="57" spans="1:2" x14ac:dyDescent="0.25">
      <c r="A57">
        <v>55</v>
      </c>
      <c r="B57" s="9" t="s">
        <v>389</v>
      </c>
    </row>
    <row r="58" spans="1:2" x14ac:dyDescent="0.25">
      <c r="A58">
        <v>56</v>
      </c>
      <c r="B58" s="9" t="s">
        <v>390</v>
      </c>
    </row>
    <row r="59" spans="1:2" x14ac:dyDescent="0.25">
      <c r="A59">
        <v>57</v>
      </c>
      <c r="B59" s="9" t="s">
        <v>391</v>
      </c>
    </row>
    <row r="60" spans="1:2" x14ac:dyDescent="0.25">
      <c r="A60">
        <v>58</v>
      </c>
      <c r="B60" s="9" t="s">
        <v>392</v>
      </c>
    </row>
    <row r="61" spans="1:2" x14ac:dyDescent="0.25">
      <c r="A61">
        <v>59</v>
      </c>
      <c r="B61" s="9" t="s">
        <v>393</v>
      </c>
    </row>
    <row r="62" spans="1:2" x14ac:dyDescent="0.25">
      <c r="A62">
        <v>60</v>
      </c>
      <c r="B62" s="9" t="s">
        <v>394</v>
      </c>
    </row>
    <row r="63" spans="1:2" x14ac:dyDescent="0.25">
      <c r="A63">
        <v>61</v>
      </c>
      <c r="B63" s="9" t="s">
        <v>395</v>
      </c>
    </row>
    <row r="64" spans="1:2" x14ac:dyDescent="0.25">
      <c r="A64">
        <v>62</v>
      </c>
      <c r="B64" s="9" t="s">
        <v>396</v>
      </c>
    </row>
    <row r="65" spans="1:2" x14ac:dyDescent="0.25">
      <c r="A65">
        <v>63</v>
      </c>
      <c r="B65" s="9" t="s">
        <v>397</v>
      </c>
    </row>
    <row r="66" spans="1:2" x14ac:dyDescent="0.25">
      <c r="A66">
        <v>64</v>
      </c>
      <c r="B66" s="9" t="s">
        <v>398</v>
      </c>
    </row>
    <row r="67" spans="1:2" x14ac:dyDescent="0.25">
      <c r="A67">
        <v>65</v>
      </c>
      <c r="B67" s="9" t="s">
        <v>399</v>
      </c>
    </row>
    <row r="68" spans="1:2" x14ac:dyDescent="0.25">
      <c r="A68">
        <v>66</v>
      </c>
      <c r="B68" s="9" t="s">
        <v>400</v>
      </c>
    </row>
    <row r="69" spans="1:2" x14ac:dyDescent="0.25">
      <c r="A69">
        <v>67</v>
      </c>
      <c r="B69" s="9" t="s">
        <v>401</v>
      </c>
    </row>
    <row r="70" spans="1:2" x14ac:dyDescent="0.25">
      <c r="A70">
        <v>68</v>
      </c>
      <c r="B70" s="9" t="s">
        <v>402</v>
      </c>
    </row>
    <row r="71" spans="1:2" x14ac:dyDescent="0.25">
      <c r="A71">
        <v>69</v>
      </c>
      <c r="B71" s="9" t="s">
        <v>403</v>
      </c>
    </row>
    <row r="72" spans="1:2" x14ac:dyDescent="0.25">
      <c r="A72">
        <v>70</v>
      </c>
      <c r="B72" s="9" t="s">
        <v>404</v>
      </c>
    </row>
    <row r="73" spans="1:2" x14ac:dyDescent="0.25">
      <c r="A73">
        <v>71</v>
      </c>
      <c r="B73" s="9" t="s">
        <v>405</v>
      </c>
    </row>
    <row r="74" spans="1:2" x14ac:dyDescent="0.25">
      <c r="A74">
        <v>72</v>
      </c>
      <c r="B74" s="9" t="s">
        <v>406</v>
      </c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0CE6-07FC-4E34-B886-D2C08CA4BB15}">
  <dimension ref="A1:C8"/>
  <sheetViews>
    <sheetView workbookViewId="0">
      <selection activeCell="B8" sqref="B8"/>
    </sheetView>
  </sheetViews>
  <sheetFormatPr defaultRowHeight="14.4" x14ac:dyDescent="0.25"/>
  <cols>
    <col min="1" max="1" width="5.77734375" customWidth="1"/>
    <col min="2" max="2" width="52.88671875" customWidth="1"/>
    <col min="3" max="3" width="57.77734375" customWidth="1"/>
  </cols>
  <sheetData>
    <row r="1" spans="1:3" x14ac:dyDescent="0.25">
      <c r="A1" s="9" t="s">
        <v>68</v>
      </c>
    </row>
    <row r="2" spans="1:3" x14ac:dyDescent="0.25">
      <c r="A2" s="9" t="s">
        <v>66</v>
      </c>
      <c r="B2" s="9" t="s">
        <v>69</v>
      </c>
      <c r="C2" s="9" t="s">
        <v>70</v>
      </c>
    </row>
    <row r="3" spans="1:3" x14ac:dyDescent="0.25">
      <c r="A3">
        <v>1</v>
      </c>
      <c r="B3" s="9" t="s">
        <v>72</v>
      </c>
      <c r="C3" s="9" t="s">
        <v>73</v>
      </c>
    </row>
    <row r="4" spans="1:3" x14ac:dyDescent="0.25">
      <c r="A4">
        <v>2</v>
      </c>
      <c r="B4" s="9" t="s">
        <v>75</v>
      </c>
      <c r="C4" s="9" t="s">
        <v>76</v>
      </c>
    </row>
    <row r="5" spans="1:3" x14ac:dyDescent="0.25">
      <c r="A5">
        <v>3</v>
      </c>
      <c r="B5" s="9" t="s">
        <v>86</v>
      </c>
      <c r="C5" s="9" t="s">
        <v>87</v>
      </c>
    </row>
    <row r="6" spans="1:3" x14ac:dyDescent="0.25">
      <c r="A6">
        <v>4</v>
      </c>
      <c r="B6" s="9" t="s">
        <v>354</v>
      </c>
      <c r="C6" s="9" t="s">
        <v>355</v>
      </c>
    </row>
    <row r="7" spans="1:3" x14ac:dyDescent="0.25">
      <c r="A7">
        <v>5</v>
      </c>
      <c r="B7" s="9" t="s">
        <v>363</v>
      </c>
      <c r="C7" s="9" t="s">
        <v>364</v>
      </c>
    </row>
    <row r="8" spans="1:3" x14ac:dyDescent="0.25">
      <c r="A8">
        <v>6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970B-D0B7-4172-9BDF-6B6D3315D629}">
  <dimension ref="A1:F43"/>
  <sheetViews>
    <sheetView topLeftCell="A24" workbookViewId="0">
      <selection activeCell="B2" sqref="B2:F43"/>
    </sheetView>
  </sheetViews>
  <sheetFormatPr defaultRowHeight="14.4" x14ac:dyDescent="0.25"/>
  <cols>
    <col min="1" max="1" width="13.77734375" customWidth="1"/>
  </cols>
  <sheetData>
    <row r="1" spans="1:6" x14ac:dyDescent="0.25">
      <c r="A1" t="s">
        <v>93</v>
      </c>
      <c r="B1" t="s">
        <v>94</v>
      </c>
      <c r="C1" t="s">
        <v>95</v>
      </c>
      <c r="D1" t="s">
        <v>96</v>
      </c>
      <c r="E1" t="s">
        <v>97</v>
      </c>
      <c r="F1" t="s">
        <v>98</v>
      </c>
    </row>
    <row r="2" spans="1:6" x14ac:dyDescent="0.25">
      <c r="A2" t="s">
        <v>99</v>
      </c>
      <c r="B2" t="s">
        <v>100</v>
      </c>
      <c r="C2" t="s">
        <v>101</v>
      </c>
      <c r="D2" t="s">
        <v>102</v>
      </c>
      <c r="E2" t="s">
        <v>103</v>
      </c>
      <c r="F2" t="s">
        <v>104</v>
      </c>
    </row>
    <row r="3" spans="1:6" x14ac:dyDescent="0.25">
      <c r="A3" t="s">
        <v>105</v>
      </c>
      <c r="B3" t="s">
        <v>106</v>
      </c>
      <c r="C3" t="s">
        <v>107</v>
      </c>
      <c r="D3" t="s">
        <v>108</v>
      </c>
      <c r="E3" t="s">
        <v>109</v>
      </c>
      <c r="F3" t="s">
        <v>110</v>
      </c>
    </row>
    <row r="4" spans="1:6" x14ac:dyDescent="0.25">
      <c r="A4" t="s">
        <v>111</v>
      </c>
      <c r="B4" t="s">
        <v>112</v>
      </c>
      <c r="C4" t="s">
        <v>113</v>
      </c>
      <c r="D4" t="s">
        <v>114</v>
      </c>
      <c r="E4" t="s">
        <v>115</v>
      </c>
      <c r="F4" t="s">
        <v>116</v>
      </c>
    </row>
    <row r="5" spans="1:6" x14ac:dyDescent="0.25">
      <c r="A5" t="s">
        <v>117</v>
      </c>
      <c r="B5" t="s">
        <v>118</v>
      </c>
      <c r="C5" t="s">
        <v>119</v>
      </c>
      <c r="D5" t="s">
        <v>120</v>
      </c>
      <c r="E5" t="s">
        <v>121</v>
      </c>
      <c r="F5" t="s">
        <v>122</v>
      </c>
    </row>
    <row r="6" spans="1:6" x14ac:dyDescent="0.25">
      <c r="A6" t="s">
        <v>123</v>
      </c>
      <c r="B6" t="s">
        <v>124</v>
      </c>
      <c r="C6" t="s">
        <v>125</v>
      </c>
      <c r="D6" t="s">
        <v>126</v>
      </c>
      <c r="E6" t="s">
        <v>127</v>
      </c>
      <c r="F6" t="s">
        <v>128</v>
      </c>
    </row>
    <row r="7" spans="1:6" x14ac:dyDescent="0.25">
      <c r="A7" t="s">
        <v>129</v>
      </c>
      <c r="B7" t="s">
        <v>130</v>
      </c>
      <c r="C7" t="s">
        <v>131</v>
      </c>
      <c r="D7" t="s">
        <v>132</v>
      </c>
      <c r="E7" t="s">
        <v>133</v>
      </c>
      <c r="F7" t="s">
        <v>134</v>
      </c>
    </row>
    <row r="8" spans="1:6" x14ac:dyDescent="0.25">
      <c r="A8" t="s">
        <v>135</v>
      </c>
      <c r="B8" t="s">
        <v>136</v>
      </c>
      <c r="C8" t="s">
        <v>137</v>
      </c>
      <c r="D8" t="s">
        <v>138</v>
      </c>
      <c r="E8" t="s">
        <v>139</v>
      </c>
      <c r="F8" t="s">
        <v>140</v>
      </c>
    </row>
    <row r="9" spans="1:6" x14ac:dyDescent="0.25">
      <c r="A9" t="s">
        <v>141</v>
      </c>
      <c r="B9" t="s">
        <v>142</v>
      </c>
      <c r="C9" t="s">
        <v>143</v>
      </c>
      <c r="D9" t="s">
        <v>144</v>
      </c>
      <c r="E9" t="s">
        <v>145</v>
      </c>
      <c r="F9" t="s">
        <v>146</v>
      </c>
    </row>
    <row r="10" spans="1:6" x14ac:dyDescent="0.25">
      <c r="A10" t="s">
        <v>147</v>
      </c>
      <c r="B10" t="s">
        <v>148</v>
      </c>
      <c r="C10" t="s">
        <v>149</v>
      </c>
      <c r="D10" t="s">
        <v>150</v>
      </c>
      <c r="E10" t="s">
        <v>151</v>
      </c>
      <c r="F10" t="s">
        <v>152</v>
      </c>
    </row>
    <row r="11" spans="1:6" x14ac:dyDescent="0.25">
      <c r="A11" t="s">
        <v>153</v>
      </c>
      <c r="B11" t="s">
        <v>154</v>
      </c>
      <c r="C11" t="s">
        <v>155</v>
      </c>
      <c r="D11" t="s">
        <v>156</v>
      </c>
      <c r="E11" t="s">
        <v>157</v>
      </c>
      <c r="F11" t="s">
        <v>158</v>
      </c>
    </row>
    <row r="12" spans="1:6" x14ac:dyDescent="0.25">
      <c r="A12" t="s">
        <v>159</v>
      </c>
      <c r="B12" t="s">
        <v>160</v>
      </c>
      <c r="C12" t="s">
        <v>161</v>
      </c>
      <c r="D12" t="s">
        <v>162</v>
      </c>
      <c r="E12" t="s">
        <v>163</v>
      </c>
      <c r="F12" t="s">
        <v>164</v>
      </c>
    </row>
    <row r="13" spans="1:6" x14ac:dyDescent="0.25">
      <c r="A13" t="s">
        <v>165</v>
      </c>
      <c r="B13" t="s">
        <v>166</v>
      </c>
      <c r="C13" t="s">
        <v>167</v>
      </c>
      <c r="D13" t="s">
        <v>168</v>
      </c>
      <c r="E13" t="s">
        <v>169</v>
      </c>
      <c r="F13" t="s">
        <v>170</v>
      </c>
    </row>
    <row r="14" spans="1:6" x14ac:dyDescent="0.25">
      <c r="A14" t="s">
        <v>171</v>
      </c>
      <c r="B14" t="s">
        <v>172</v>
      </c>
      <c r="C14" t="s">
        <v>173</v>
      </c>
      <c r="D14" t="s">
        <v>174</v>
      </c>
      <c r="E14" t="s">
        <v>175</v>
      </c>
      <c r="F14" t="s">
        <v>176</v>
      </c>
    </row>
    <row r="15" spans="1:6" x14ac:dyDescent="0.25">
      <c r="A15" t="s">
        <v>177</v>
      </c>
      <c r="B15" t="s">
        <v>178</v>
      </c>
      <c r="C15" t="s">
        <v>179</v>
      </c>
      <c r="D15" t="s">
        <v>180</v>
      </c>
      <c r="E15" t="s">
        <v>181</v>
      </c>
      <c r="F15" t="s">
        <v>182</v>
      </c>
    </row>
    <row r="16" spans="1:6" x14ac:dyDescent="0.25">
      <c r="A16" t="s">
        <v>183</v>
      </c>
      <c r="B16" t="s">
        <v>184</v>
      </c>
      <c r="C16" t="s">
        <v>185</v>
      </c>
      <c r="D16" t="s">
        <v>186</v>
      </c>
      <c r="E16" t="s">
        <v>187</v>
      </c>
      <c r="F16" t="s">
        <v>188</v>
      </c>
    </row>
    <row r="17" spans="1:6" x14ac:dyDescent="0.25">
      <c r="A17" t="s">
        <v>189</v>
      </c>
      <c r="B17" t="s">
        <v>190</v>
      </c>
      <c r="C17" t="s">
        <v>191</v>
      </c>
      <c r="D17" t="s">
        <v>192</v>
      </c>
      <c r="E17" t="s">
        <v>193</v>
      </c>
      <c r="F17" t="s">
        <v>194</v>
      </c>
    </row>
    <row r="18" spans="1:6" x14ac:dyDescent="0.25">
      <c r="A18" t="s">
        <v>195</v>
      </c>
      <c r="B18" t="s">
        <v>196</v>
      </c>
      <c r="C18" t="s">
        <v>197</v>
      </c>
      <c r="D18" t="s">
        <v>198</v>
      </c>
      <c r="E18" t="s">
        <v>199</v>
      </c>
      <c r="F18" t="s">
        <v>200</v>
      </c>
    </row>
    <row r="19" spans="1:6" x14ac:dyDescent="0.25">
      <c r="A19" t="s">
        <v>201</v>
      </c>
      <c r="B19" t="s">
        <v>202</v>
      </c>
      <c r="C19" t="s">
        <v>203</v>
      </c>
      <c r="D19" t="s">
        <v>204</v>
      </c>
      <c r="E19" t="s">
        <v>205</v>
      </c>
      <c r="F19" t="s">
        <v>206</v>
      </c>
    </row>
    <row r="20" spans="1:6" x14ac:dyDescent="0.25">
      <c r="A20" t="s">
        <v>207</v>
      </c>
      <c r="B20" t="s">
        <v>208</v>
      </c>
      <c r="C20" t="s">
        <v>209</v>
      </c>
      <c r="D20" t="s">
        <v>210</v>
      </c>
      <c r="E20" t="s">
        <v>211</v>
      </c>
      <c r="F20" t="s">
        <v>212</v>
      </c>
    </row>
    <row r="21" spans="1:6" x14ac:dyDescent="0.25">
      <c r="A21" t="s">
        <v>213</v>
      </c>
      <c r="B21" t="s">
        <v>214</v>
      </c>
      <c r="C21" t="s">
        <v>215</v>
      </c>
      <c r="D21" t="s">
        <v>216</v>
      </c>
      <c r="E21" t="s">
        <v>217</v>
      </c>
      <c r="F21" t="s">
        <v>218</v>
      </c>
    </row>
    <row r="22" spans="1:6" x14ac:dyDescent="0.25">
      <c r="A22" t="s">
        <v>219</v>
      </c>
      <c r="B22" t="s">
        <v>220</v>
      </c>
      <c r="C22" t="s">
        <v>221</v>
      </c>
      <c r="D22" t="s">
        <v>222</v>
      </c>
      <c r="E22" t="s">
        <v>223</v>
      </c>
      <c r="F22" t="s">
        <v>224</v>
      </c>
    </row>
    <row r="23" spans="1:6" x14ac:dyDescent="0.25">
      <c r="A23" t="s">
        <v>225</v>
      </c>
      <c r="B23" t="s">
        <v>226</v>
      </c>
      <c r="C23" t="s">
        <v>227</v>
      </c>
      <c r="D23" t="s">
        <v>228</v>
      </c>
      <c r="E23" t="s">
        <v>229</v>
      </c>
      <c r="F23" t="s">
        <v>230</v>
      </c>
    </row>
    <row r="24" spans="1:6" x14ac:dyDescent="0.25">
      <c r="A24" t="s">
        <v>231</v>
      </c>
      <c r="B24" t="s">
        <v>232</v>
      </c>
      <c r="C24" t="s">
        <v>233</v>
      </c>
      <c r="D24" t="s">
        <v>234</v>
      </c>
      <c r="E24" t="s">
        <v>235</v>
      </c>
      <c r="F24" t="s">
        <v>236</v>
      </c>
    </row>
    <row r="25" spans="1:6" x14ac:dyDescent="0.25">
      <c r="A25" t="s">
        <v>237</v>
      </c>
      <c r="B25" t="s">
        <v>238</v>
      </c>
      <c r="C25" t="s">
        <v>239</v>
      </c>
      <c r="D25" t="s">
        <v>240</v>
      </c>
      <c r="E25" t="s">
        <v>241</v>
      </c>
      <c r="F25" t="s">
        <v>242</v>
      </c>
    </row>
    <row r="26" spans="1:6" x14ac:dyDescent="0.25">
      <c r="A26" t="s">
        <v>243</v>
      </c>
      <c r="B26" t="s">
        <v>244</v>
      </c>
      <c r="C26" t="s">
        <v>245</v>
      </c>
      <c r="D26" t="s">
        <v>246</v>
      </c>
      <c r="E26" t="s">
        <v>247</v>
      </c>
      <c r="F26" t="s">
        <v>248</v>
      </c>
    </row>
    <row r="27" spans="1:6" x14ac:dyDescent="0.25">
      <c r="A27" t="s">
        <v>249</v>
      </c>
      <c r="B27" t="s">
        <v>250</v>
      </c>
      <c r="C27" t="s">
        <v>251</v>
      </c>
      <c r="D27" t="s">
        <v>252</v>
      </c>
      <c r="E27" t="s">
        <v>253</v>
      </c>
      <c r="F27" t="s">
        <v>254</v>
      </c>
    </row>
    <row r="28" spans="1:6" x14ac:dyDescent="0.25">
      <c r="A28" t="s">
        <v>255</v>
      </c>
      <c r="B28" t="s">
        <v>256</v>
      </c>
      <c r="C28" t="s">
        <v>257</v>
      </c>
      <c r="D28" t="s">
        <v>258</v>
      </c>
      <c r="E28" t="s">
        <v>259</v>
      </c>
      <c r="F28" t="s">
        <v>260</v>
      </c>
    </row>
    <row r="29" spans="1:6" x14ac:dyDescent="0.25">
      <c r="A29" t="s">
        <v>261</v>
      </c>
      <c r="B29" t="s">
        <v>262</v>
      </c>
      <c r="C29" t="s">
        <v>263</v>
      </c>
      <c r="D29" t="s">
        <v>264</v>
      </c>
      <c r="E29" t="s">
        <v>265</v>
      </c>
      <c r="F29" t="s">
        <v>266</v>
      </c>
    </row>
    <row r="30" spans="1:6" x14ac:dyDescent="0.25">
      <c r="A30" t="s">
        <v>267</v>
      </c>
      <c r="B30" t="s">
        <v>268</v>
      </c>
      <c r="C30" t="s">
        <v>269</v>
      </c>
      <c r="D30" t="s">
        <v>270</v>
      </c>
      <c r="E30" t="s">
        <v>271</v>
      </c>
      <c r="F30" t="s">
        <v>272</v>
      </c>
    </row>
    <row r="31" spans="1:6" x14ac:dyDescent="0.25">
      <c r="A31" t="s">
        <v>273</v>
      </c>
      <c r="B31" t="s">
        <v>274</v>
      </c>
      <c r="C31" t="s">
        <v>275</v>
      </c>
      <c r="D31" t="s">
        <v>276</v>
      </c>
      <c r="E31" t="s">
        <v>277</v>
      </c>
      <c r="F31" t="s">
        <v>278</v>
      </c>
    </row>
    <row r="32" spans="1:6" x14ac:dyDescent="0.25">
      <c r="A32" t="s">
        <v>279</v>
      </c>
      <c r="B32" t="s">
        <v>280</v>
      </c>
      <c r="C32" t="s">
        <v>281</v>
      </c>
      <c r="D32" t="s">
        <v>282</v>
      </c>
      <c r="E32" t="s">
        <v>283</v>
      </c>
      <c r="F32" t="s">
        <v>284</v>
      </c>
    </row>
    <row r="33" spans="1:6" x14ac:dyDescent="0.25">
      <c r="A33" t="s">
        <v>285</v>
      </c>
      <c r="B33" t="s">
        <v>286</v>
      </c>
      <c r="C33" t="s">
        <v>287</v>
      </c>
      <c r="D33" t="s">
        <v>288</v>
      </c>
      <c r="E33" t="s">
        <v>289</v>
      </c>
      <c r="F33" t="s">
        <v>290</v>
      </c>
    </row>
    <row r="34" spans="1:6" x14ac:dyDescent="0.25">
      <c r="A34" t="s">
        <v>291</v>
      </c>
      <c r="B34" t="s">
        <v>292</v>
      </c>
      <c r="C34" t="s">
        <v>293</v>
      </c>
      <c r="D34" t="s">
        <v>294</v>
      </c>
      <c r="E34" t="s">
        <v>295</v>
      </c>
      <c r="F34" t="s">
        <v>296</v>
      </c>
    </row>
    <row r="35" spans="1:6" x14ac:dyDescent="0.25">
      <c r="A35" t="s">
        <v>297</v>
      </c>
      <c r="B35" t="s">
        <v>298</v>
      </c>
      <c r="C35" t="s">
        <v>299</v>
      </c>
      <c r="D35" t="s">
        <v>300</v>
      </c>
      <c r="E35" t="s">
        <v>301</v>
      </c>
      <c r="F35" t="s">
        <v>302</v>
      </c>
    </row>
    <row r="36" spans="1:6" x14ac:dyDescent="0.25">
      <c r="A36" t="s">
        <v>303</v>
      </c>
      <c r="B36" t="s">
        <v>304</v>
      </c>
      <c r="C36" t="s">
        <v>305</v>
      </c>
      <c r="D36" t="s">
        <v>306</v>
      </c>
      <c r="E36" t="s">
        <v>307</v>
      </c>
      <c r="F36" t="s">
        <v>308</v>
      </c>
    </row>
    <row r="37" spans="1:6" x14ac:dyDescent="0.25">
      <c r="A37" t="s">
        <v>309</v>
      </c>
      <c r="B37" t="s">
        <v>310</v>
      </c>
      <c r="C37" t="s">
        <v>311</v>
      </c>
      <c r="D37" t="s">
        <v>312</v>
      </c>
    </row>
    <row r="38" spans="1:6" x14ac:dyDescent="0.25">
      <c r="A38" t="s">
        <v>313</v>
      </c>
      <c r="B38" t="s">
        <v>314</v>
      </c>
      <c r="C38" t="s">
        <v>315</v>
      </c>
      <c r="D38" t="s">
        <v>316</v>
      </c>
      <c r="E38" t="s">
        <v>317</v>
      </c>
      <c r="F38" t="s">
        <v>318</v>
      </c>
    </row>
    <row r="39" spans="1:6" x14ac:dyDescent="0.25">
      <c r="A39" t="s">
        <v>319</v>
      </c>
      <c r="B39" t="s">
        <v>320</v>
      </c>
      <c r="C39" t="s">
        <v>321</v>
      </c>
      <c r="D39" t="s">
        <v>322</v>
      </c>
      <c r="E39" t="s">
        <v>323</v>
      </c>
      <c r="F39" t="s">
        <v>324</v>
      </c>
    </row>
    <row r="40" spans="1:6" x14ac:dyDescent="0.25">
      <c r="A40" t="s">
        <v>325</v>
      </c>
      <c r="B40" t="s">
        <v>326</v>
      </c>
      <c r="C40" t="s">
        <v>327</v>
      </c>
      <c r="D40" t="s">
        <v>328</v>
      </c>
      <c r="E40" t="s">
        <v>329</v>
      </c>
      <c r="F40" t="s">
        <v>330</v>
      </c>
    </row>
    <row r="41" spans="1:6" x14ac:dyDescent="0.25">
      <c r="A41" t="s">
        <v>325</v>
      </c>
      <c r="B41" t="s">
        <v>331</v>
      </c>
      <c r="C41" t="s">
        <v>332</v>
      </c>
      <c r="D41" t="s">
        <v>333</v>
      </c>
      <c r="E41" t="s">
        <v>334</v>
      </c>
      <c r="F41" t="s">
        <v>335</v>
      </c>
    </row>
    <row r="42" spans="1:6" x14ac:dyDescent="0.25">
      <c r="A42" t="s">
        <v>336</v>
      </c>
      <c r="B42" t="s">
        <v>337</v>
      </c>
      <c r="C42" t="s">
        <v>338</v>
      </c>
      <c r="D42" t="s">
        <v>339</v>
      </c>
      <c r="E42" t="s">
        <v>340</v>
      </c>
    </row>
    <row r="43" spans="1:6" x14ac:dyDescent="0.25">
      <c r="A43" t="s">
        <v>341</v>
      </c>
      <c r="B43" t="s">
        <v>342</v>
      </c>
      <c r="C43" t="s">
        <v>343</v>
      </c>
      <c r="D43" t="s">
        <v>344</v>
      </c>
      <c r="E43" t="s">
        <v>345</v>
      </c>
      <c r="F43" t="s">
        <v>346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年表</vt:lpstr>
      <vt:lpstr>反篡改</vt:lpstr>
      <vt:lpstr>推论</vt:lpstr>
      <vt:lpstr>草稿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fz</dc:creator>
  <cp:lastModifiedBy>Astra</cp:lastModifiedBy>
  <dcterms:created xsi:type="dcterms:W3CDTF">2026-05-28T01:44:00Z</dcterms:created>
  <dcterms:modified xsi:type="dcterms:W3CDTF">2026-06-14T02:36:27Z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B17898F75996C66E08BD166AD80F64BE_41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1</vt:i4>
  </property>
</Properties>
</file>